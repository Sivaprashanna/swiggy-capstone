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Cuisine Targets" sheetId="2" r:id="rId6"/>
    <sheet state="visible" name="KPI" sheetId="3" r:id="rId7"/>
    <sheet state="visible" name="Pivot Table 1" sheetId="4" r:id="rId8"/>
    <sheet state="visible" name="Cuisine Summary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<sst xmlns="http://schemas.openxmlformats.org/spreadsheetml/2006/main" count="315" uniqueCount="25">
  <si>
    <t>cuisine</t>
  </si>
  <si>
    <t>month</t>
  </si>
  <si>
    <t>target_revenue_inr</t>
  </si>
  <si>
    <t>North Indian</t>
  </si>
  <si>
    <t>order_count</t>
  </si>
  <si>
    <t>total_revenue</t>
  </si>
  <si>
    <t>Chinese</t>
  </si>
  <si>
    <t>avg_revenue</t>
  </si>
  <si>
    <t>Overall KPI</t>
  </si>
  <si>
    <t>South Indian</t>
  </si>
  <si>
    <t>Fast Food</t>
  </si>
  <si>
    <t>Number of Cuisines</t>
  </si>
  <si>
    <t>Desserts</t>
  </si>
  <si>
    <t>Italian</t>
  </si>
  <si>
    <t>Total Revenue</t>
  </si>
  <si>
    <t>Total Orders</t>
  </si>
  <si>
    <t>Average revenue</t>
  </si>
  <si>
    <t>SUM of total_revenue</t>
  </si>
  <si>
    <t>SUM of order_count</t>
  </si>
  <si>
    <t>Cuisine</t>
  </si>
  <si>
    <t>Target Revenue</t>
  </si>
  <si>
    <t>Variance</t>
  </si>
  <si>
    <t>Percentage Variance</t>
  </si>
  <si>
    <t>Grand Total</t>
  </si>
  <si>
    <t>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</si>
</sst>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Font="1"/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76" sheet="Monthly Data"/>
  </cacheSource>
  <cacheFields>
    <cacheField name="cuisine" numFmtId="0">
      <sharedItems>
        <s v="Chinese"/>
        <s v="Desserts"/>
        <s v="Fast Food"/>
        <s v="Italian"/>
        <s v="North Indian"/>
        <s v="South Indian"/>
      </sharedItems>
    </cacheField>
    <cacheField name="month" numFmtId="164">
      <sharedItems containsSemiMixedTypes="0" containsDate="1" containsString="0">
        <d v="2026-01-01T00:00:00Z"/>
        <d v="2026-01-04T00:00:00Z"/>
        <d v="2026-01-05T00:00:00Z"/>
        <d v="2026-01-08T00:00:00Z"/>
        <d v="2026-01-09T00:00:00Z"/>
        <d v="2026-01-13T00:00:00Z"/>
        <d v="2026-01-15T00:00:00Z"/>
        <d v="2026-01-17T00:00:00Z"/>
        <d v="2026-01-18T00:00:00Z"/>
        <d v="2026-01-19T00:00:00Z"/>
        <d v="2026-01-20T00:00:00Z"/>
        <d v="2026-01-24T00:00:00Z"/>
        <d v="2026-01-26T00:00:00Z"/>
        <d v="2026-01-30T00:00:00Z"/>
        <d v="2026-02-02T00:00:00Z"/>
        <d v="2026-02-04T00:00:00Z"/>
        <d v="2026-02-06T00:00:00Z"/>
        <d v="2026-02-07T00:00:00Z"/>
        <d v="2026-02-11T00:00:00Z"/>
        <d v="2026-02-15T00:00:00Z"/>
        <d v="2026-02-19T00:00:00Z"/>
        <d v="2026-02-23T00:00:00Z"/>
        <d v="2026-02-24T00:00:00Z"/>
        <d v="2026-02-25T00:00:00Z"/>
        <d v="2026-02-26T00:00:00Z"/>
        <d v="2026-02-27T00:00:00Z"/>
        <d v="2026-03-01T00:00:00Z"/>
        <d v="2026-03-02T00:00:00Z"/>
        <d v="2026-03-03T00:00:00Z"/>
        <d v="2026-03-04T00:00:00Z"/>
        <d v="2026-03-06T00:00:00Z"/>
        <d v="2026-03-07T00:00:00Z"/>
        <d v="2026-03-11T00:00:00Z"/>
        <d v="2026-03-12T00:00:00Z"/>
        <d v="2026-03-17T00:00:00Z"/>
        <d v="2026-03-20T00:00:00Z"/>
        <d v="2026-03-21T00:00:00Z"/>
        <d v="2026-03-23T00:00:00Z"/>
        <d v="2026-03-29T00:00:00Z"/>
        <d v="2026-04-01T00:00:00Z"/>
        <d v="2026-04-06T00:00:00Z"/>
        <d v="2026-04-07T00:00:00Z"/>
        <d v="2026-04-13T00:00:00Z"/>
        <d v="2026-04-15T00:00:00Z"/>
        <d v="2026-04-16T00:00:00Z"/>
        <d v="2026-04-17T00:00:00Z"/>
        <d v="2026-04-19T00:00:00Z"/>
        <d v="2026-04-21T00:00:00Z"/>
        <d v="2026-04-23T00:00:00Z"/>
        <d v="2026-04-26T00:00:00Z"/>
        <d v="2026-04-30T00:00:00Z"/>
        <d v="2026-05-02T00:00:00Z"/>
        <d v="2026-05-03T00:00:00Z"/>
        <d v="2026-05-09T00:00:00Z"/>
        <d v="2026-05-13T00:00:00Z"/>
        <d v="2026-05-16T00:00:00Z"/>
        <d v="2026-05-17T00:00:00Z"/>
        <d v="2026-05-20T00:00:00Z"/>
        <d v="2026-05-26T00:00:00Z"/>
        <d v="2026-06-02T00:00:00Z"/>
        <d v="2026-06-04T00:00:00Z"/>
        <d v="2026-06-05T00:00:00Z"/>
        <d v="2026-06-06T00:00:00Z"/>
        <d v="2026-06-12T00:00:00Z"/>
        <d v="2026-06-14T00:00:00Z"/>
        <d v="2026-06-15T00:00:00Z"/>
        <d v="2026-06-17T00:00:00Z"/>
        <d v="2026-06-20T00:00:00Z"/>
        <d v="2026-06-21T00:00:00Z"/>
        <d v="2026-06-24T00:00:00Z"/>
        <d v="2026-06-25T00:00:00Z"/>
        <d v="2026-06-30T00:00:00Z"/>
        <d v="2026-01-14T00:00:00Z"/>
        <d v="2026-01-21T00:00:00Z"/>
        <d v="2026-01-25T00:00:00Z"/>
        <d v="2026-02-14T00:00:00Z"/>
        <d v="2026-05-01T00:00:00Z"/>
        <d v="2026-05-27T00:00:00Z"/>
        <d v="2026-05-30T00:00:00Z"/>
        <d v="2026-05-31T00:00:00Z"/>
        <d v="2026-01-02T00:00:00Z"/>
        <d v="2026-01-16T00:00:00Z"/>
        <d v="2026-02-03T00:00:00Z"/>
        <d v="2026-02-09T00:00:00Z"/>
        <d v="2026-03-05T00:00:00Z"/>
        <d v="2026-03-13T00:00:00Z"/>
        <d v="2026-03-14T00:00:00Z"/>
        <d v="2026-03-18T00:00:00Z"/>
        <d v="2026-03-28T00:00:00Z"/>
        <d v="2026-03-30T00:00:00Z"/>
        <d v="2026-04-04T00:00:00Z"/>
        <d v="2026-04-18T00:00:00Z"/>
        <d v="2026-04-20T00:00:00Z"/>
        <d v="2026-04-27T00:00:00Z"/>
        <d v="2026-05-05T00:00:00Z"/>
        <d v="2026-05-08T00:00:00Z"/>
        <d v="2026-05-12T00:00:00Z"/>
        <d v="2026-05-14T00:00:00Z"/>
        <d v="2026-06-28T00:00:00Z"/>
        <d v="2026-04-03T00:00:00Z"/>
        <d v="2026-04-12T00:00:00Z"/>
        <d v="2026-04-24T00:00:00Z"/>
        <d v="2026-05-15T00:00:00Z"/>
        <d v="2026-06-07T00:00:00Z"/>
        <d v="2026-06-10T00:00:00Z"/>
        <d v="2026-06-18T00:00:00Z"/>
        <d v="2026-01-06T00:00:00Z"/>
        <d v="2026-01-10T00:00:00Z"/>
        <d v="2026-01-11T00:00:00Z"/>
        <d v="2026-01-12T00:00:00Z"/>
        <d v="2026-01-28T00:00:00Z"/>
        <d v="2026-01-29T00:00:00Z"/>
        <d v="2026-01-31T00:00:00Z"/>
        <d v="2026-02-05T00:00:00Z"/>
        <d v="2026-02-08T00:00:00Z"/>
        <d v="2026-02-10T00:00:00Z"/>
        <d v="2026-02-12T00:00:00Z"/>
        <d v="2026-02-13T00:00:00Z"/>
        <d v="2026-02-20T00:00:00Z"/>
        <d v="2026-02-21T00:00:00Z"/>
        <d v="2026-02-22T00:00:00Z"/>
        <d v="2026-02-28T00:00:00Z"/>
        <d v="2026-03-08T00:00:00Z"/>
        <d v="2026-03-10T00:00:00Z"/>
        <d v="2026-03-15T00:00:00Z"/>
        <d v="2026-03-22T00:00:00Z"/>
        <d v="2026-03-24T00:00:00Z"/>
        <d v="2026-03-31T00:00:00Z"/>
        <d v="2026-04-02T00:00:00Z"/>
        <d v="2026-04-05T00:00:00Z"/>
        <d v="2026-04-08T00:00:00Z"/>
        <d v="2026-04-09T00:00:00Z"/>
        <d v="2026-04-11T00:00:00Z"/>
        <d v="2026-04-22T00:00:00Z"/>
        <d v="2026-04-25T00:00:00Z"/>
        <d v="2026-04-28T00:00:00Z"/>
        <d v="2026-05-07T00:00:00Z"/>
        <d v="2026-05-10T00:00:00Z"/>
        <d v="2026-05-18T00:00:00Z"/>
        <d v="2026-05-22T00:00:00Z"/>
        <d v="2026-05-25T00:00:00Z"/>
        <d v="2026-05-28T00:00:00Z"/>
        <d v="2026-06-01T00:00:00Z"/>
        <d v="2026-06-11T00:00:00Z"/>
        <d v="2026-06-16T00:00:00Z"/>
        <d v="2026-06-22T00:00:00Z"/>
        <d v="2026-06-23T00:00:00Z"/>
        <d v="2026-06-26T00:00:00Z"/>
        <d v="2026-06-29T00:00:00Z"/>
        <d v="2026-02-17T00:00:00Z"/>
        <d v="2026-02-18T00:00:00Z"/>
        <d v="2026-03-19T00:00:00Z"/>
        <d v="2026-06-19T00:00:00Z"/>
      </sharedItems>
    </cacheField>
    <cacheField name="order_count" numFmtId="0">
      <sharedItems containsSemiMixedTypes="0" containsString="0" containsNumber="1" containsInteger="1">
        <n v="1.0"/>
        <n v="2.0"/>
        <n v="3.0"/>
        <n v="4.0"/>
        <n v="6.0"/>
      </sharedItems>
    </cacheField>
    <cacheField name="total_revenue" numFmtId="0">
      <sharedItems containsSemiMixedTypes="0" containsString="0" containsNumber="1" containsInteger="1">
        <n v="1477.0"/>
        <n v="1870.0"/>
        <n v="1635.0"/>
        <n v="1130.0"/>
        <n v="1867.0"/>
        <n v="1126.0"/>
        <n v="2439.0"/>
        <n v="4193.0"/>
        <n v="1281.0"/>
        <n v="394.0"/>
        <n v="2460.0"/>
        <n v="1766.0"/>
        <n v="1654.0"/>
        <n v="1291.0"/>
        <n v="3914.0"/>
        <n v="1233.0"/>
        <n v="965.0"/>
        <n v="874.0"/>
        <n v="1424.0"/>
        <n v="1838.0"/>
        <n v="3314.0"/>
        <n v="1172.0"/>
        <n v="2012.0"/>
        <n v="1690.0"/>
        <n v="1514.0"/>
        <n v="431.0"/>
        <n v="2038.0"/>
        <n v="2283.0"/>
        <n v="574.0"/>
        <n v="504.0"/>
        <n v="363.0"/>
        <n v="1335.0"/>
        <n v="1963.0"/>
        <n v="2396.0"/>
        <n v="4483.0"/>
        <n v="1221.0"/>
        <n v="1478.0"/>
        <n v="1140.0"/>
        <n v="495.0"/>
        <n v="2008.0"/>
        <n v="1308.0"/>
        <n v="472.0"/>
        <n v="685.0"/>
        <n v="2297.0"/>
        <n v="2179.0"/>
        <n v="605.0"/>
        <n v="1276.0"/>
        <n v="2269.0"/>
        <n v="2213.0"/>
        <n v="1959.0"/>
        <n v="4410.0"/>
        <n v="1143.0"/>
        <n v="1266.0"/>
        <n v="660.0"/>
        <n v="2238.0"/>
        <n v="1904.0"/>
        <n v="1898.0"/>
        <n v="1158.0"/>
        <n v="3622.0"/>
        <n v="2682.0"/>
        <n v="1454.0"/>
        <n v="2033.0"/>
        <n v="4107.0"/>
        <n v="780.0"/>
        <n v="2866.0"/>
        <n v="1413.0"/>
        <n v="650.0"/>
        <n v="4228.0"/>
        <n v="2092.0"/>
        <n v="2071.0"/>
        <n v="2117.0"/>
        <n v="1913.0"/>
        <n v="1676.0"/>
        <n v="3274.0"/>
        <n v="679.0"/>
        <n v="330.0"/>
        <n v="2479.0"/>
        <n v="252.0"/>
        <n v="1806.0"/>
        <n v="1785.0"/>
        <n v="1790.0"/>
        <n v="1593.0"/>
        <n v="440.0"/>
        <n v="918.0"/>
        <n v="723.0"/>
        <n v="997.0"/>
        <n v="1849.0"/>
        <n v="4142.0"/>
        <n v="1430.0"/>
        <n v="2419.0"/>
        <n v="2125.0"/>
        <n v="1036.0"/>
        <n v="697.0"/>
        <n v="1289.0"/>
        <n v="485.0"/>
        <n v="2199.0"/>
        <n v="2044.0"/>
        <n v="1182.0"/>
        <n v="741.0"/>
        <n v="749.0"/>
        <n v="1916.0"/>
        <n v="1188.0"/>
        <n v="2205.0"/>
        <n v="2432.0"/>
        <n v="2354.0"/>
        <n v="620.0"/>
        <n v="2260.0"/>
        <n v="1669.0"/>
        <n v="2066.0"/>
        <n v="2270.0"/>
        <n v="154.0"/>
        <n v="1708.0"/>
        <n v="2348.0"/>
        <n v="408.0"/>
        <n v="2098.0"/>
        <n v="1722.0"/>
        <n v="434.0"/>
        <n v="1716.0"/>
        <n v="1142.0"/>
        <n v="2233.0"/>
        <n v="478.0"/>
        <n v="962.0"/>
        <n v="328.0"/>
        <n v="509.0"/>
        <n v="1455.0"/>
        <n v="2481.0"/>
        <n v="1899.0"/>
        <n v="1532.0"/>
        <n v="987.0"/>
        <n v="1771.0"/>
        <n v="4814.0"/>
        <n v="1594.0"/>
        <n v="4130.0"/>
        <n v="2325.0"/>
        <n v="669.0"/>
        <n v="634.0"/>
        <n v="2083.0"/>
        <n v="3132.0"/>
        <n v="4313.0"/>
        <n v="1891.0"/>
        <n v="2197.0"/>
        <n v="2210.0"/>
        <n v="2435.0"/>
        <n v="3537.0"/>
        <n v="2053.0"/>
        <n v="1757.0"/>
        <n v="546.0"/>
        <n v="2740.0"/>
        <n v="927.0"/>
        <n v="1950.0"/>
        <n v="4002.0"/>
        <n v="3516.0"/>
        <n v="497.0"/>
        <n v="3010.0"/>
        <n v="2088.0"/>
        <n v="2406.0"/>
        <n v="652.0"/>
        <n v="1502.0"/>
        <n v="2358.0"/>
        <n v="3472.0"/>
        <n v="1031.0"/>
        <n v="4081.0"/>
        <n v="966.0"/>
        <n v="1033.0"/>
        <n v="1977.0"/>
        <n v="802.0"/>
        <n v="939.0"/>
        <n v="380.0"/>
        <n v="7079.0"/>
        <n v="564.0"/>
        <n v="2187.0"/>
        <n v="384.0"/>
        <n v="1889.0"/>
        <n v="857.0"/>
        <n v="1375.0"/>
        <n v="259.0"/>
        <n v="2386.0"/>
        <n v="1124.0"/>
        <n v="3499.0"/>
        <n v="903.0"/>
        <n v="2209.0"/>
        <n v="1114.0"/>
        <n v="2461.0"/>
        <n v="1192.0"/>
        <n v="2255.0"/>
        <n v="1268.0"/>
        <n v="1470.0"/>
        <n v="797.0"/>
        <n v="4042.0"/>
        <n v="1108.0"/>
        <n v="2795.0"/>
        <n v="5916.0"/>
        <n v="1567.0"/>
        <n v="3262.0"/>
        <n v="1061.0"/>
        <n v="1986.0"/>
        <n v="2959.0"/>
        <n v="2384.0"/>
        <n v="2151.0"/>
        <n v="753.0"/>
        <n v="2134.0"/>
        <n v="1693.0"/>
        <n v="1837.0"/>
        <n v="1023.0"/>
        <n v="4711.0"/>
        <n v="1763.0"/>
        <n v="1702.0"/>
        <n v="3032.0"/>
        <n v="2022.0"/>
        <n v="2496.0"/>
        <n v="1527.0"/>
        <n v="1895.0"/>
        <n v="3429.0"/>
        <n v="2316.0"/>
        <n v="1595.0"/>
        <n v="1960.0"/>
        <n v="1520.0"/>
        <n v="3363.0"/>
        <n v="2835.0"/>
        <n v="2933.0"/>
        <n v="710.0"/>
        <n v="2462.0"/>
        <n v="2458.0"/>
        <n v="3706.0"/>
        <n v="2777.0"/>
        <n v="3650.0"/>
        <n v="715.0"/>
        <n v="2364.0"/>
        <n v="787.0"/>
        <n v="188.0"/>
        <n v="767.0"/>
        <n v="1951.0"/>
        <n v="1395.0"/>
        <n v="725.0"/>
        <n v="1014.0"/>
        <n v="2194.0"/>
        <n v="1843.0"/>
        <n v="1063.0"/>
        <n v="1421.0"/>
        <n v="3438.0"/>
        <n v="160.0"/>
        <n v="1964.0"/>
        <n v="2026.0"/>
        <n v="2261.0"/>
        <n v="1587.0"/>
        <n v="1961.0"/>
        <n v="2110.0"/>
        <n v="2465.0"/>
        <n v="553.0"/>
        <n v="558.0"/>
        <n v="2217.0"/>
        <n v="377.0"/>
        <n v="760.0"/>
        <n v="1711.0"/>
        <n v="840.0"/>
        <n v="1627.0"/>
        <n v="930.0"/>
        <n v="2603.0"/>
        <n v="964.0"/>
        <n v="2226.0"/>
        <n v="2547.0"/>
        <n v="1915.0"/>
        <n v="1678.0"/>
        <n v="1822.0"/>
        <n v="1423.0"/>
      </sharedItems>
    </cacheField>
    <cacheField name="avg_revenue" numFmtId="0">
      <sharedItems containsSemiMixedTypes="0" containsString="0" containsNumber="1">
        <n v="1477.0"/>
        <n v="1870.0"/>
        <n v="1635.0"/>
        <n v="1130.0"/>
        <n v="1867.0"/>
        <n v="1126.0"/>
        <n v="1219.5"/>
        <n v="2096.5"/>
        <n v="1281.0"/>
        <n v="394.0"/>
        <n v="2460.0"/>
        <n v="1766.0"/>
        <n v="1654.0"/>
        <n v="1291.0"/>
        <n v="1304.66666666667"/>
        <n v="1233.0"/>
        <n v="965.0"/>
        <n v="437.0"/>
        <n v="1424.0"/>
        <n v="1838.0"/>
        <n v="1657.0"/>
        <n v="1172.0"/>
        <n v="2012.0"/>
        <n v="1690.0"/>
        <n v="1514.0"/>
        <n v="431.0"/>
        <n v="2038.0"/>
        <n v="1141.5"/>
        <n v="574.0"/>
        <n v="504.0"/>
        <n v="363.0"/>
        <n v="1335.0"/>
        <n v="981.5"/>
        <n v="2396.0"/>
        <n v="2241.5"/>
        <n v="1221.0"/>
        <n v="1478.0"/>
        <n v="1140.0"/>
        <n v="495.0"/>
        <n v="2008.0"/>
        <n v="1308.0"/>
        <n v="472.0"/>
        <n v="685.0"/>
        <n v="1148.5"/>
        <n v="2179.0"/>
        <n v="712.0"/>
        <n v="605.0"/>
        <n v="638.0"/>
        <n v="2269.0"/>
        <n v="2213.0"/>
        <n v="1959.0"/>
        <n v="2205.0"/>
        <n v="1143.0"/>
        <n v="1266.0"/>
        <n v="660.0"/>
        <n v="2238.0"/>
        <n v="1904.0"/>
        <n v="949.0"/>
        <n v="1158.0"/>
        <n v="1811.0"/>
        <n v="1341.0"/>
        <n v="1454.0"/>
        <n v="2033.0"/>
        <n v="2053.5"/>
        <n v="780.0"/>
        <n v="1433.0"/>
        <n v="1413.0"/>
        <n v="650.0"/>
        <n v="2114.0"/>
        <n v="2092.0"/>
        <n v="2071.0"/>
        <n v="2117.0"/>
        <n v="1913.0"/>
        <n v="1676.0"/>
        <n v="1637.0"/>
        <n v="679.0"/>
        <n v="330.0"/>
        <n v="2479.0"/>
        <n v="252.0"/>
        <n v="1806.0"/>
        <n v="1785.0"/>
        <n v="1790.0"/>
        <n v="1593.0"/>
        <n v="440.0"/>
        <n v="918.0"/>
        <n v="723.0"/>
        <n v="997.0"/>
        <n v="1849.0"/>
        <n v="1035.5"/>
        <n v="1430.0"/>
        <n v="1209.5"/>
        <n v="2125.0"/>
        <n v="1036.0"/>
        <n v="697.0"/>
        <n v="644.5"/>
        <n v="485.0"/>
        <n v="2199.0"/>
        <n v="2044.0"/>
        <n v="1182.0"/>
        <n v="741.0"/>
        <n v="749.0"/>
        <n v="1916.0"/>
        <n v="1188.0"/>
        <n v="2432.0"/>
        <n v="2354.0"/>
        <n v="620.0"/>
        <n v="2260.0"/>
        <n v="1669.0"/>
        <n v="1033.0"/>
        <n v="2270.0"/>
        <n v="154.0"/>
        <n v="1708.0"/>
        <n v="2348.0"/>
        <n v="408.0"/>
        <n v="2098.0"/>
        <n v="1722.0"/>
        <n v="434.0"/>
        <n v="1716.0"/>
        <n v="1142.0"/>
        <n v="2233.0"/>
        <n v="478.0"/>
        <n v="962.0"/>
        <n v="328.0"/>
        <n v="509.0"/>
        <n v="1455.0"/>
        <n v="2481.0"/>
        <n v="1899.0"/>
        <n v="1532.0"/>
        <n v="987.0"/>
        <n v="1771.0"/>
        <n v="1604.66666666667"/>
        <n v="1594.0"/>
        <n v="1376.66666666667"/>
        <n v="2325.0"/>
        <n v="669.0"/>
        <n v="634.0"/>
        <n v="2083.0"/>
        <n v="1044.0"/>
        <n v="2156.5"/>
        <n v="1891.0"/>
        <n v="2197.0"/>
        <n v="1105.0"/>
        <n v="2435.0"/>
        <n v="1768.5"/>
        <n v="2053.0"/>
        <n v="878.5"/>
        <n v="546.0"/>
        <n v="1370.0"/>
        <n v="927.0"/>
        <n v="1950.0"/>
        <n v="2001.0"/>
        <n v="1758.0"/>
        <n v="497.0"/>
        <n v="1505.0"/>
        <n v="2406.0"/>
        <n v="652.0"/>
        <n v="1502.0"/>
        <n v="2358.0"/>
        <n v="1736.0"/>
        <n v="1031.0"/>
        <n v="1360.33333333333"/>
        <n v="966.0"/>
        <n v="1977.0"/>
        <n v="802.0"/>
        <n v="939.0"/>
        <n v="380.0"/>
        <n v="1179.83333333333"/>
        <n v="564.0"/>
        <n v="2187.0"/>
        <n v="384.0"/>
        <n v="944.5"/>
        <n v="428.5"/>
        <n v="1375.0"/>
        <n v="259.0"/>
        <n v="2386.0"/>
        <n v="1124.0"/>
        <n v="1749.5"/>
        <n v="903.0"/>
        <n v="2209.0"/>
        <n v="1114.0"/>
        <n v="2461.0"/>
        <n v="1192.0"/>
        <n v="1127.5"/>
        <n v="1268.0"/>
        <n v="1470.0"/>
        <n v="797.0"/>
        <n v="1347.33333333333"/>
        <n v="1108.0"/>
        <n v="1397.5"/>
        <n v="1479.0"/>
        <n v="1567.0"/>
        <n v="1631.0"/>
        <n v="1061.0"/>
        <n v="1986.0"/>
        <n v="986.333333333333"/>
        <n v="2384.0"/>
        <n v="2151.0"/>
        <n v="753.0"/>
        <n v="2134.0"/>
        <n v="1693.0"/>
        <n v="1837.0"/>
        <n v="1023.0"/>
        <n v="1177.75"/>
        <n v="881.5"/>
        <n v="1702.0"/>
        <n v="1516.0"/>
        <n v="1011.0"/>
        <n v="2496.0"/>
        <n v="1527.0"/>
        <n v="1895.0"/>
        <n v="1714.5"/>
        <n v="2316.0"/>
        <n v="1595.0"/>
        <n v="1960.0"/>
        <n v="1520.0"/>
        <n v="1681.5"/>
        <n v="1417.5"/>
        <n v="1466.5"/>
        <n v="710.0"/>
        <n v="2462.0"/>
        <n v="1229.0"/>
        <n v="1853.0"/>
        <n v="1388.5"/>
        <n v="1216.66666666667"/>
        <n v="715.0"/>
        <n v="2364.0"/>
        <n v="787.0"/>
        <n v="188.0"/>
        <n v="767.0"/>
        <n v="1951.0"/>
        <n v="1395.0"/>
        <n v="725.0"/>
        <n v="1014.0"/>
        <n v="2194.0"/>
        <n v="1843.0"/>
        <n v="1063.0"/>
        <n v="1421.0"/>
        <n v="1146.0"/>
        <n v="160.0"/>
        <n v="1964.0"/>
        <n v="2026.0"/>
        <n v="2261.0"/>
        <n v="1587.0"/>
        <n v="1961.0"/>
        <n v="2110.0"/>
        <n v="2465.0"/>
        <n v="553.0"/>
        <n v="558.0"/>
        <n v="2217.0"/>
        <n v="377.0"/>
        <n v="760.0"/>
        <n v="1711.0"/>
        <n v="840.0"/>
        <n v="2419.0"/>
        <n v="1627.0"/>
        <n v="930.0"/>
        <n v="1301.5"/>
        <n v="964.0"/>
        <n v="2226.0"/>
        <n v="1273.5"/>
        <n v="1915.0"/>
        <n v="839.0"/>
        <n v="1822.0"/>
        <n v="1423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8" firstHeaderRow="0" firstDataRow="2" firstDataCol="0"/>
  <pivotFields>
    <pivotField name="cuisine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t="default"/>
      </items>
    </pivotField>
  </pivotFields>
  <rowFields>
    <field x="0"/>
  </rowFields>
  <colFields>
    <field x="-2"/>
  </colFields>
  <dataFields>
    <dataField name="SUM of total_revenue" fld="3" baseField="0"/>
    <dataField name="SUM of order_count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4</v>
      </c>
      <c r="D1" s="1" t="s">
        <v>5</v>
      </c>
      <c r="E1" s="1" t="s">
        <v>7</v>
      </c>
    </row>
    <row r="2">
      <c r="A2" s="1" t="s">
        <v>6</v>
      </c>
      <c r="B2" s="2">
        <v>46023.0</v>
      </c>
      <c r="C2" s="1">
        <v>1.0</v>
      </c>
      <c r="D2" s="1">
        <v>1477.0</v>
      </c>
      <c r="E2" s="1">
        <v>1477.0</v>
      </c>
    </row>
    <row r="3">
      <c r="A3" s="1" t="s">
        <v>6</v>
      </c>
      <c r="B3" s="2">
        <v>46026.0</v>
      </c>
      <c r="C3" s="1">
        <v>1.0</v>
      </c>
      <c r="D3" s="1">
        <v>1870.0</v>
      </c>
      <c r="E3" s="1">
        <v>1870.0</v>
      </c>
    </row>
    <row r="4">
      <c r="A4" s="1" t="s">
        <v>6</v>
      </c>
      <c r="B4" s="2">
        <v>46027.0</v>
      </c>
      <c r="C4" s="1">
        <v>1.0</v>
      </c>
      <c r="D4" s="1">
        <v>1635.0</v>
      </c>
      <c r="E4" s="1">
        <v>1635.0</v>
      </c>
    </row>
    <row r="5">
      <c r="A5" s="1" t="s">
        <v>6</v>
      </c>
      <c r="B5" s="2">
        <v>46030.0</v>
      </c>
      <c r="C5" s="1">
        <v>1.0</v>
      </c>
      <c r="D5" s="1">
        <v>1130.0</v>
      </c>
      <c r="E5" s="1">
        <v>1130.0</v>
      </c>
      <c r="I5" s="2"/>
    </row>
    <row r="6">
      <c r="A6" s="1" t="s">
        <v>6</v>
      </c>
      <c r="B6" s="2">
        <v>46031.0</v>
      </c>
      <c r="C6" s="1">
        <v>1.0</v>
      </c>
      <c r="D6" s="1">
        <v>1867.0</v>
      </c>
      <c r="E6" s="1">
        <v>1867.0</v>
      </c>
      <c r="I6" s="2"/>
    </row>
    <row r="7">
      <c r="A7" s="1" t="s">
        <v>6</v>
      </c>
      <c r="B7" s="2">
        <v>46035.0</v>
      </c>
      <c r="C7" s="1">
        <v>1.0</v>
      </c>
      <c r="D7" s="1">
        <v>1126.0</v>
      </c>
      <c r="E7" s="1">
        <v>1126.0</v>
      </c>
      <c r="I7" s="2"/>
    </row>
    <row r="8">
      <c r="A8" s="1" t="s">
        <v>6</v>
      </c>
      <c r="B8" s="2">
        <v>46037.0</v>
      </c>
      <c r="C8" s="1">
        <v>2.0</v>
      </c>
      <c r="D8" s="1">
        <v>2439.0</v>
      </c>
      <c r="E8" s="1">
        <v>1219.5</v>
      </c>
      <c r="I8" s="2"/>
    </row>
    <row r="9">
      <c r="A9" s="1" t="s">
        <v>6</v>
      </c>
      <c r="B9" s="2">
        <v>46039.0</v>
      </c>
      <c r="C9" s="1">
        <v>2.0</v>
      </c>
      <c r="D9" s="1">
        <v>4193.0</v>
      </c>
      <c r="E9" s="1">
        <v>2096.5</v>
      </c>
      <c r="I9" s="2"/>
    </row>
    <row r="10">
      <c r="A10" s="1" t="s">
        <v>6</v>
      </c>
      <c r="B10" s="2">
        <v>46040.0</v>
      </c>
      <c r="C10" s="1">
        <v>1.0</v>
      </c>
      <c r="D10" s="1">
        <v>1281.0</v>
      </c>
      <c r="E10" s="1">
        <v>1281.0</v>
      </c>
      <c r="I10" s="2"/>
    </row>
    <row r="11">
      <c r="A11" s="1" t="s">
        <v>6</v>
      </c>
      <c r="B11" s="2">
        <v>46041.0</v>
      </c>
      <c r="C11" s="1">
        <v>1.0</v>
      </c>
      <c r="D11" s="1">
        <v>394.0</v>
      </c>
      <c r="E11" s="1">
        <v>394.0</v>
      </c>
      <c r="I11" s="2"/>
    </row>
    <row r="12">
      <c r="A12" s="1" t="s">
        <v>6</v>
      </c>
      <c r="B12" s="2">
        <v>46042.0</v>
      </c>
      <c r="C12" s="1">
        <v>1.0</v>
      </c>
      <c r="D12" s="1">
        <v>2460.0</v>
      </c>
      <c r="E12" s="1">
        <v>2460.0</v>
      </c>
      <c r="I12" s="2"/>
    </row>
    <row r="13">
      <c r="A13" s="1" t="s">
        <v>6</v>
      </c>
      <c r="B13" s="2">
        <v>46046.0</v>
      </c>
      <c r="C13" s="1">
        <v>1.0</v>
      </c>
      <c r="D13" s="1">
        <v>1766.0</v>
      </c>
      <c r="E13" s="1">
        <v>1766.0</v>
      </c>
      <c r="I13" s="2"/>
    </row>
    <row r="14">
      <c r="A14" s="1" t="s">
        <v>6</v>
      </c>
      <c r="B14" s="2">
        <v>46048.0</v>
      </c>
      <c r="C14" s="1">
        <v>1.0</v>
      </c>
      <c r="D14" s="1">
        <v>1654.0</v>
      </c>
      <c r="E14" s="1">
        <v>1654.0</v>
      </c>
      <c r="I14" s="2"/>
    </row>
    <row r="15">
      <c r="A15" s="1" t="s">
        <v>6</v>
      </c>
      <c r="B15" s="2">
        <v>46052.0</v>
      </c>
      <c r="C15" s="1">
        <v>1.0</v>
      </c>
      <c r="D15" s="1">
        <v>1291.0</v>
      </c>
      <c r="E15" s="1">
        <v>1291.0</v>
      </c>
      <c r="I15" s="2"/>
    </row>
    <row r="16">
      <c r="A16" s="1" t="s">
        <v>6</v>
      </c>
      <c r="B16" s="2">
        <v>46055.0</v>
      </c>
      <c r="C16" s="1">
        <v>3.0</v>
      </c>
      <c r="D16" s="1">
        <v>3914.0</v>
      </c>
      <c r="E16" s="1">
        <v>1304.66666666667</v>
      </c>
      <c r="I16" s="2"/>
    </row>
    <row r="17">
      <c r="A17" s="1" t="s">
        <v>6</v>
      </c>
      <c r="B17" s="2">
        <v>46057.0</v>
      </c>
      <c r="C17" s="1">
        <v>1.0</v>
      </c>
      <c r="D17" s="1">
        <v>1233.0</v>
      </c>
      <c r="E17" s="1">
        <v>1233.0</v>
      </c>
      <c r="I17" s="2"/>
    </row>
    <row r="18">
      <c r="A18" s="1" t="s">
        <v>6</v>
      </c>
      <c r="B18" s="2">
        <v>46059.0</v>
      </c>
      <c r="C18" s="1">
        <v>1.0</v>
      </c>
      <c r="D18" s="1">
        <v>965.0</v>
      </c>
      <c r="E18" s="1">
        <v>965.0</v>
      </c>
      <c r="I18" s="2"/>
    </row>
    <row r="19">
      <c r="A19" s="1" t="s">
        <v>6</v>
      </c>
      <c r="B19" s="2">
        <v>46060.0</v>
      </c>
      <c r="C19" s="1">
        <v>2.0</v>
      </c>
      <c r="D19" s="1">
        <v>874.0</v>
      </c>
      <c r="E19" s="1">
        <v>437.0</v>
      </c>
      <c r="I19" s="2"/>
    </row>
    <row r="20">
      <c r="A20" s="1" t="s">
        <v>6</v>
      </c>
      <c r="B20" s="2">
        <v>46064.0</v>
      </c>
      <c r="C20" s="1">
        <v>1.0</v>
      </c>
      <c r="D20" s="1">
        <v>1424.0</v>
      </c>
      <c r="E20" s="1">
        <v>1424.0</v>
      </c>
      <c r="I20" s="2"/>
    </row>
    <row r="21">
      <c r="A21" s="1" t="s">
        <v>6</v>
      </c>
      <c r="B21" s="2">
        <v>46068.0</v>
      </c>
      <c r="C21" s="1">
        <v>1.0</v>
      </c>
      <c r="D21" s="1">
        <v>1838.0</v>
      </c>
      <c r="E21" s="1">
        <v>1838.0</v>
      </c>
      <c r="I21" s="2"/>
    </row>
    <row r="22">
      <c r="A22" s="1" t="s">
        <v>6</v>
      </c>
      <c r="B22" s="2">
        <v>46072.0</v>
      </c>
      <c r="C22" s="1">
        <v>2.0</v>
      </c>
      <c r="D22" s="1">
        <v>3314.0</v>
      </c>
      <c r="E22" s="1">
        <v>1657.0</v>
      </c>
      <c r="I22" s="2"/>
    </row>
    <row r="23">
      <c r="A23" s="1" t="s">
        <v>6</v>
      </c>
      <c r="B23" s="2">
        <v>46076.0</v>
      </c>
      <c r="C23" s="1">
        <v>1.0</v>
      </c>
      <c r="D23" s="1">
        <v>1172.0</v>
      </c>
      <c r="E23" s="1">
        <v>1172.0</v>
      </c>
      <c r="I23" s="2"/>
    </row>
    <row r="24">
      <c r="A24" s="1" t="s">
        <v>6</v>
      </c>
      <c r="B24" s="2">
        <v>46077.0</v>
      </c>
      <c r="C24" s="1">
        <v>1.0</v>
      </c>
      <c r="D24" s="1">
        <v>2012.0</v>
      </c>
      <c r="E24" s="1">
        <v>2012.0</v>
      </c>
      <c r="I24" s="2"/>
    </row>
    <row r="25">
      <c r="A25" s="1" t="s">
        <v>6</v>
      </c>
      <c r="B25" s="2">
        <v>46078.0</v>
      </c>
      <c r="C25" s="1">
        <v>1.0</v>
      </c>
      <c r="D25" s="1">
        <v>1690.0</v>
      </c>
      <c r="E25" s="1">
        <v>1690.0</v>
      </c>
      <c r="I25" s="2"/>
    </row>
    <row r="26">
      <c r="A26" s="1" t="s">
        <v>6</v>
      </c>
      <c r="B26" s="2">
        <v>46079.0</v>
      </c>
      <c r="C26" s="1">
        <v>1.0</v>
      </c>
      <c r="D26" s="1">
        <v>1514.0</v>
      </c>
      <c r="E26" s="1">
        <v>1514.0</v>
      </c>
      <c r="I26" s="2"/>
    </row>
    <row r="27">
      <c r="A27" s="1" t="s">
        <v>6</v>
      </c>
      <c r="B27" s="2">
        <v>46080.0</v>
      </c>
      <c r="C27" s="1">
        <v>1.0</v>
      </c>
      <c r="D27" s="1">
        <v>431.0</v>
      </c>
      <c r="E27" s="1">
        <v>431.0</v>
      </c>
      <c r="I27" s="2"/>
    </row>
    <row r="28">
      <c r="A28" s="1" t="s">
        <v>6</v>
      </c>
      <c r="B28" s="2">
        <v>46082.0</v>
      </c>
      <c r="C28" s="1">
        <v>1.0</v>
      </c>
      <c r="D28" s="1">
        <v>2038.0</v>
      </c>
      <c r="E28" s="1">
        <v>2038.0</v>
      </c>
      <c r="I28" s="2"/>
    </row>
    <row r="29">
      <c r="A29" s="1" t="s">
        <v>6</v>
      </c>
      <c r="B29" s="2">
        <v>46083.0</v>
      </c>
      <c r="C29" s="1">
        <v>2.0</v>
      </c>
      <c r="D29" s="1">
        <v>2283.0</v>
      </c>
      <c r="E29" s="1">
        <v>1141.5</v>
      </c>
      <c r="I29" s="2"/>
    </row>
    <row r="30">
      <c r="A30" s="1" t="s">
        <v>6</v>
      </c>
      <c r="B30" s="2">
        <v>46084.0</v>
      </c>
      <c r="C30" s="1">
        <v>1.0</v>
      </c>
      <c r="D30" s="1">
        <v>574.0</v>
      </c>
      <c r="E30" s="1">
        <v>574.0</v>
      </c>
      <c r="I30" s="2"/>
    </row>
    <row r="31">
      <c r="A31" s="1" t="s">
        <v>6</v>
      </c>
      <c r="B31" s="2">
        <v>46085.0</v>
      </c>
      <c r="C31" s="1">
        <v>1.0</v>
      </c>
      <c r="D31" s="1">
        <v>504.0</v>
      </c>
      <c r="E31" s="1">
        <v>504.0</v>
      </c>
      <c r="I31" s="2"/>
    </row>
    <row r="32">
      <c r="A32" s="1" t="s">
        <v>6</v>
      </c>
      <c r="B32" s="2">
        <v>46087.0</v>
      </c>
      <c r="C32" s="1">
        <v>1.0</v>
      </c>
      <c r="D32" s="1">
        <v>363.0</v>
      </c>
      <c r="E32" s="1">
        <v>363.0</v>
      </c>
      <c r="I32" s="2"/>
    </row>
    <row r="33">
      <c r="A33" s="1" t="s">
        <v>6</v>
      </c>
      <c r="B33" s="2">
        <v>46088.0</v>
      </c>
      <c r="C33" s="1">
        <v>1.0</v>
      </c>
      <c r="D33" s="1">
        <v>1335.0</v>
      </c>
      <c r="E33" s="1">
        <v>1335.0</v>
      </c>
      <c r="I33" s="2"/>
    </row>
    <row r="34">
      <c r="A34" s="1" t="s">
        <v>6</v>
      </c>
      <c r="B34" s="2">
        <v>46092.0</v>
      </c>
      <c r="C34" s="1">
        <v>2.0</v>
      </c>
      <c r="D34" s="1">
        <v>1963.0</v>
      </c>
      <c r="E34" s="1">
        <v>981.5</v>
      </c>
      <c r="I34" s="2"/>
    </row>
    <row r="35">
      <c r="A35" s="1" t="s">
        <v>6</v>
      </c>
      <c r="B35" s="2">
        <v>46093.0</v>
      </c>
      <c r="C35" s="1">
        <v>1.0</v>
      </c>
      <c r="D35" s="1">
        <v>2396.0</v>
      </c>
      <c r="E35" s="1">
        <v>2396.0</v>
      </c>
      <c r="I35" s="2"/>
    </row>
    <row r="36">
      <c r="A36" s="1" t="s">
        <v>6</v>
      </c>
      <c r="B36" s="2">
        <v>46098.0</v>
      </c>
      <c r="C36" s="1">
        <v>2.0</v>
      </c>
      <c r="D36" s="1">
        <v>4483.0</v>
      </c>
      <c r="E36" s="1">
        <v>2241.5</v>
      </c>
      <c r="I36" s="2"/>
    </row>
    <row r="37">
      <c r="A37" s="1" t="s">
        <v>6</v>
      </c>
      <c r="B37" s="2">
        <v>46101.0</v>
      </c>
      <c r="C37" s="1">
        <v>1.0</v>
      </c>
      <c r="D37" s="1">
        <v>1221.0</v>
      </c>
      <c r="E37" s="1">
        <v>1221.0</v>
      </c>
      <c r="I37" s="2"/>
    </row>
    <row r="38">
      <c r="A38" s="1" t="s">
        <v>6</v>
      </c>
      <c r="B38" s="2">
        <v>46102.0</v>
      </c>
      <c r="C38" s="1">
        <v>1.0</v>
      </c>
      <c r="D38" s="1">
        <v>1478.0</v>
      </c>
      <c r="E38" s="1">
        <v>1478.0</v>
      </c>
      <c r="I38" s="2"/>
    </row>
    <row r="39">
      <c r="A39" s="1" t="s">
        <v>6</v>
      </c>
      <c r="B39" s="2">
        <v>46104.0</v>
      </c>
      <c r="C39" s="1">
        <v>1.0</v>
      </c>
      <c r="D39" s="1">
        <v>1140.0</v>
      </c>
      <c r="E39" s="1">
        <v>1140.0</v>
      </c>
      <c r="I39" s="2"/>
    </row>
    <row r="40">
      <c r="A40" s="1" t="s">
        <v>6</v>
      </c>
      <c r="B40" s="2">
        <v>46110.0</v>
      </c>
      <c r="C40" s="1">
        <v>1.0</v>
      </c>
      <c r="D40" s="1">
        <v>495.0</v>
      </c>
      <c r="E40" s="1">
        <v>495.0</v>
      </c>
      <c r="I40" s="2"/>
    </row>
    <row r="41">
      <c r="A41" s="1" t="s">
        <v>6</v>
      </c>
      <c r="B41" s="2">
        <v>46113.0</v>
      </c>
      <c r="C41" s="1">
        <v>1.0</v>
      </c>
      <c r="D41" s="1">
        <v>2008.0</v>
      </c>
      <c r="E41" s="1">
        <v>2008.0</v>
      </c>
      <c r="I41" s="2"/>
    </row>
    <row r="42">
      <c r="A42" s="1" t="s">
        <v>6</v>
      </c>
      <c r="B42" s="2">
        <v>46118.0</v>
      </c>
      <c r="C42" s="1">
        <v>1.0</v>
      </c>
      <c r="D42" s="1">
        <v>1308.0</v>
      </c>
      <c r="E42" s="1">
        <v>1308.0</v>
      </c>
      <c r="I42" s="2"/>
    </row>
    <row r="43">
      <c r="A43" s="1" t="s">
        <v>6</v>
      </c>
      <c r="B43" s="2">
        <v>46119.0</v>
      </c>
      <c r="C43" s="1">
        <v>1.0</v>
      </c>
      <c r="D43" s="1">
        <v>472.0</v>
      </c>
      <c r="E43" s="1">
        <v>472.0</v>
      </c>
      <c r="I43" s="2"/>
    </row>
    <row r="44">
      <c r="A44" s="1" t="s">
        <v>6</v>
      </c>
      <c r="B44" s="2">
        <v>46125.0</v>
      </c>
      <c r="C44" s="1">
        <v>1.0</v>
      </c>
      <c r="D44" s="1">
        <v>685.0</v>
      </c>
      <c r="E44" s="1">
        <v>685.0</v>
      </c>
      <c r="I44" s="2"/>
    </row>
    <row r="45">
      <c r="A45" s="1" t="s">
        <v>6</v>
      </c>
      <c r="B45" s="2">
        <v>46127.0</v>
      </c>
      <c r="C45" s="1">
        <v>2.0</v>
      </c>
      <c r="D45" s="1">
        <v>2297.0</v>
      </c>
      <c r="E45" s="1">
        <v>1148.5</v>
      </c>
      <c r="I45" s="2"/>
    </row>
    <row r="46">
      <c r="A46" s="1" t="s">
        <v>6</v>
      </c>
      <c r="B46" s="2">
        <v>46128.0</v>
      </c>
      <c r="C46" s="1">
        <v>1.0</v>
      </c>
      <c r="D46" s="1">
        <v>2179.0</v>
      </c>
      <c r="E46" s="1">
        <v>2179.0</v>
      </c>
      <c r="I46" s="2"/>
    </row>
    <row r="47">
      <c r="A47" s="1" t="s">
        <v>6</v>
      </c>
      <c r="B47" s="2">
        <v>46129.0</v>
      </c>
      <c r="C47" s="1">
        <v>2.0</v>
      </c>
      <c r="D47" s="1">
        <v>1424.0</v>
      </c>
      <c r="E47" s="1">
        <v>712.0</v>
      </c>
      <c r="I47" s="2"/>
    </row>
    <row r="48">
      <c r="A48" s="1" t="s">
        <v>6</v>
      </c>
      <c r="B48" s="2">
        <v>46131.0</v>
      </c>
      <c r="C48" s="1">
        <v>1.0</v>
      </c>
      <c r="D48" s="1">
        <v>605.0</v>
      </c>
      <c r="E48" s="1">
        <v>605.0</v>
      </c>
      <c r="I48" s="2"/>
    </row>
    <row r="49">
      <c r="A49" s="1" t="s">
        <v>6</v>
      </c>
      <c r="B49" s="2">
        <v>46133.0</v>
      </c>
      <c r="C49" s="1">
        <v>2.0</v>
      </c>
      <c r="D49" s="1">
        <v>1276.0</v>
      </c>
      <c r="E49" s="1">
        <v>638.0</v>
      </c>
      <c r="I49" s="2"/>
    </row>
    <row r="50">
      <c r="A50" s="1" t="s">
        <v>6</v>
      </c>
      <c r="B50" s="2">
        <v>46135.0</v>
      </c>
      <c r="C50" s="1">
        <v>1.0</v>
      </c>
      <c r="D50" s="1">
        <v>2269.0</v>
      </c>
      <c r="E50" s="1">
        <v>2269.0</v>
      </c>
      <c r="I50" s="2"/>
    </row>
    <row r="51">
      <c r="A51" s="1" t="s">
        <v>6</v>
      </c>
      <c r="B51" s="2">
        <v>46138.0</v>
      </c>
      <c r="C51" s="1">
        <v>1.0</v>
      </c>
      <c r="D51" s="1">
        <v>2213.0</v>
      </c>
      <c r="E51" s="1">
        <v>2213.0</v>
      </c>
      <c r="I51" s="2"/>
    </row>
    <row r="52">
      <c r="A52" s="1" t="s">
        <v>6</v>
      </c>
      <c r="B52" s="2">
        <v>46142.0</v>
      </c>
      <c r="C52" s="1">
        <v>1.0</v>
      </c>
      <c r="D52" s="1">
        <v>1959.0</v>
      </c>
      <c r="E52" s="1">
        <v>1959.0</v>
      </c>
      <c r="I52" s="2"/>
    </row>
    <row r="53">
      <c r="A53" s="1" t="s">
        <v>6</v>
      </c>
      <c r="B53" s="2">
        <v>46144.0</v>
      </c>
      <c r="C53" s="1">
        <v>2.0</v>
      </c>
      <c r="D53" s="1">
        <v>4410.0</v>
      </c>
      <c r="E53" s="1">
        <v>2205.0</v>
      </c>
      <c r="I53" s="2"/>
    </row>
    <row r="54">
      <c r="A54" s="1" t="s">
        <v>6</v>
      </c>
      <c r="B54" s="2">
        <v>46145.0</v>
      </c>
      <c r="C54" s="1">
        <v>1.0</v>
      </c>
      <c r="D54" s="1">
        <v>1143.0</v>
      </c>
      <c r="E54" s="1">
        <v>1143.0</v>
      </c>
      <c r="I54" s="2"/>
    </row>
    <row r="55">
      <c r="A55" s="1" t="s">
        <v>6</v>
      </c>
      <c r="B55" s="2">
        <v>46151.0</v>
      </c>
      <c r="C55" s="1">
        <v>1.0</v>
      </c>
      <c r="D55" s="1">
        <v>1266.0</v>
      </c>
      <c r="E55" s="1">
        <v>1266.0</v>
      </c>
      <c r="I55" s="2"/>
    </row>
    <row r="56">
      <c r="A56" s="1" t="s">
        <v>6</v>
      </c>
      <c r="B56" s="2">
        <v>46155.0</v>
      </c>
      <c r="C56" s="1">
        <v>1.0</v>
      </c>
      <c r="D56" s="1">
        <v>660.0</v>
      </c>
      <c r="E56" s="1">
        <v>660.0</v>
      </c>
      <c r="I56" s="2"/>
    </row>
    <row r="57">
      <c r="A57" s="1" t="s">
        <v>6</v>
      </c>
      <c r="B57" s="2">
        <v>46158.0</v>
      </c>
      <c r="C57" s="1">
        <v>1.0</v>
      </c>
      <c r="D57" s="1">
        <v>2238.0</v>
      </c>
      <c r="E57" s="1">
        <v>2238.0</v>
      </c>
      <c r="I57" s="2"/>
    </row>
    <row r="58">
      <c r="A58" s="1" t="s">
        <v>6</v>
      </c>
      <c r="B58" s="2">
        <v>46159.0</v>
      </c>
      <c r="C58" s="1">
        <v>1.0</v>
      </c>
      <c r="D58" s="1">
        <v>1904.0</v>
      </c>
      <c r="E58" s="1">
        <v>1904.0</v>
      </c>
      <c r="I58" s="2"/>
    </row>
    <row r="59">
      <c r="A59" s="1" t="s">
        <v>6</v>
      </c>
      <c r="B59" s="2">
        <v>46162.0</v>
      </c>
      <c r="C59" s="1">
        <v>2.0</v>
      </c>
      <c r="D59" s="1">
        <v>1898.0</v>
      </c>
      <c r="E59" s="1">
        <v>949.0</v>
      </c>
      <c r="I59" s="2"/>
    </row>
    <row r="60">
      <c r="A60" s="1" t="s">
        <v>6</v>
      </c>
      <c r="B60" s="2">
        <v>46168.0</v>
      </c>
      <c r="C60" s="1">
        <v>1.0</v>
      </c>
      <c r="D60" s="1">
        <v>1158.0</v>
      </c>
      <c r="E60" s="1">
        <v>1158.0</v>
      </c>
      <c r="I60" s="2"/>
    </row>
    <row r="61">
      <c r="A61" s="1" t="s">
        <v>6</v>
      </c>
      <c r="B61" s="2">
        <v>46175.0</v>
      </c>
      <c r="C61" s="1">
        <v>2.0</v>
      </c>
      <c r="D61" s="1">
        <v>3622.0</v>
      </c>
      <c r="E61" s="1">
        <v>1811.0</v>
      </c>
      <c r="I61" s="2"/>
    </row>
    <row r="62">
      <c r="A62" s="1" t="s">
        <v>6</v>
      </c>
      <c r="B62" s="2">
        <v>46177.0</v>
      </c>
      <c r="C62" s="1">
        <v>1.0</v>
      </c>
      <c r="D62" s="1">
        <v>1233.0</v>
      </c>
      <c r="E62" s="1">
        <v>1233.0</v>
      </c>
      <c r="I62" s="2"/>
    </row>
    <row r="63">
      <c r="A63" s="1" t="s">
        <v>6</v>
      </c>
      <c r="B63" s="2">
        <v>46178.0</v>
      </c>
      <c r="C63" s="1">
        <v>2.0</v>
      </c>
      <c r="D63" s="1">
        <v>2682.0</v>
      </c>
      <c r="E63" s="1">
        <v>1341.0</v>
      </c>
      <c r="I63" s="2"/>
    </row>
    <row r="64">
      <c r="A64" s="1" t="s">
        <v>6</v>
      </c>
      <c r="B64" s="2">
        <v>46179.0</v>
      </c>
      <c r="C64" s="1">
        <v>1.0</v>
      </c>
      <c r="D64" s="1">
        <v>1454.0</v>
      </c>
      <c r="E64" s="1">
        <v>1454.0</v>
      </c>
      <c r="I64" s="2"/>
    </row>
    <row r="65">
      <c r="A65" s="1" t="s">
        <v>6</v>
      </c>
      <c r="B65" s="2">
        <v>46185.0</v>
      </c>
      <c r="C65" s="1">
        <v>1.0</v>
      </c>
      <c r="D65" s="1">
        <v>2033.0</v>
      </c>
      <c r="E65" s="1">
        <v>2033.0</v>
      </c>
      <c r="I65" s="2"/>
    </row>
    <row r="66">
      <c r="A66" s="1" t="s">
        <v>6</v>
      </c>
      <c r="B66" s="2">
        <v>46187.0</v>
      </c>
      <c r="C66" s="1">
        <v>2.0</v>
      </c>
      <c r="D66" s="1">
        <v>4107.0</v>
      </c>
      <c r="E66" s="1">
        <v>2053.5</v>
      </c>
      <c r="I66" s="2"/>
    </row>
    <row r="67">
      <c r="A67" s="1" t="s">
        <v>6</v>
      </c>
      <c r="B67" s="2">
        <v>46188.0</v>
      </c>
      <c r="C67" s="1">
        <v>1.0</v>
      </c>
      <c r="D67" s="1">
        <v>780.0</v>
      </c>
      <c r="E67" s="1">
        <v>780.0</v>
      </c>
      <c r="I67" s="2"/>
    </row>
    <row r="68">
      <c r="A68" s="1" t="s">
        <v>6</v>
      </c>
      <c r="B68" s="2">
        <v>46190.0</v>
      </c>
      <c r="C68" s="1">
        <v>2.0</v>
      </c>
      <c r="D68" s="1">
        <v>2866.0</v>
      </c>
      <c r="E68" s="1">
        <v>1433.0</v>
      </c>
      <c r="I68" s="2"/>
    </row>
    <row r="69">
      <c r="A69" s="1" t="s">
        <v>6</v>
      </c>
      <c r="B69" s="2">
        <v>46193.0</v>
      </c>
      <c r="C69" s="1">
        <v>1.0</v>
      </c>
      <c r="D69" s="1">
        <v>1413.0</v>
      </c>
      <c r="E69" s="1">
        <v>1413.0</v>
      </c>
      <c r="I69" s="2"/>
    </row>
    <row r="70">
      <c r="A70" s="1" t="s">
        <v>6</v>
      </c>
      <c r="B70" s="2">
        <v>46194.0</v>
      </c>
      <c r="C70" s="1">
        <v>1.0</v>
      </c>
      <c r="D70" s="1">
        <v>650.0</v>
      </c>
      <c r="E70" s="1">
        <v>650.0</v>
      </c>
      <c r="I70" s="2"/>
    </row>
    <row r="71">
      <c r="A71" s="1" t="s">
        <v>6</v>
      </c>
      <c r="B71" s="2">
        <v>46197.0</v>
      </c>
      <c r="C71" s="1">
        <v>2.0</v>
      </c>
      <c r="D71" s="1">
        <v>4228.0</v>
      </c>
      <c r="E71" s="1">
        <v>2114.0</v>
      </c>
      <c r="I71" s="2"/>
    </row>
    <row r="72">
      <c r="A72" s="1" t="s">
        <v>6</v>
      </c>
      <c r="B72" s="2">
        <v>46198.0</v>
      </c>
      <c r="C72" s="1">
        <v>1.0</v>
      </c>
      <c r="D72" s="1">
        <v>2092.0</v>
      </c>
      <c r="E72" s="1">
        <v>2092.0</v>
      </c>
      <c r="I72" s="2"/>
    </row>
    <row r="73">
      <c r="A73" s="1" t="s">
        <v>6</v>
      </c>
      <c r="B73" s="2">
        <v>46203.0</v>
      </c>
      <c r="C73" s="1">
        <v>1.0</v>
      </c>
      <c r="D73" s="1">
        <v>2071.0</v>
      </c>
      <c r="E73" s="1">
        <v>2071.0</v>
      </c>
      <c r="I73" s="2"/>
    </row>
    <row r="74">
      <c r="A74" s="1" t="s">
        <v>12</v>
      </c>
      <c r="B74" s="2">
        <v>46036.0</v>
      </c>
      <c r="C74" s="1">
        <v>1.0</v>
      </c>
      <c r="D74" s="1">
        <v>2117.0</v>
      </c>
      <c r="E74" s="1">
        <v>2117.0</v>
      </c>
      <c r="I74" s="2"/>
    </row>
    <row r="75">
      <c r="A75" s="1" t="s">
        <v>12</v>
      </c>
      <c r="B75" s="2">
        <v>46043.0</v>
      </c>
      <c r="C75" s="1">
        <v>1.0</v>
      </c>
      <c r="D75" s="1">
        <v>1913.0</v>
      </c>
      <c r="E75" s="1">
        <v>1913.0</v>
      </c>
      <c r="I75" s="2"/>
    </row>
    <row r="76">
      <c r="A76" s="1" t="s">
        <v>12</v>
      </c>
      <c r="B76" s="2">
        <v>46047.0</v>
      </c>
      <c r="C76" s="1">
        <v>1.0</v>
      </c>
      <c r="D76" s="1">
        <v>1676.0</v>
      </c>
      <c r="E76" s="1">
        <v>1676.0</v>
      </c>
      <c r="I76" s="2"/>
    </row>
    <row r="77">
      <c r="A77" s="1" t="s">
        <v>12</v>
      </c>
      <c r="B77" s="2">
        <v>46057.0</v>
      </c>
      <c r="C77" s="1">
        <v>2.0</v>
      </c>
      <c r="D77" s="1">
        <v>3274.0</v>
      </c>
      <c r="E77" s="1">
        <v>1637.0</v>
      </c>
      <c r="I77" s="2"/>
    </row>
    <row r="78">
      <c r="A78" s="1" t="s">
        <v>12</v>
      </c>
      <c r="B78" s="2">
        <v>46067.0</v>
      </c>
      <c r="C78" s="1">
        <v>1.0</v>
      </c>
      <c r="D78" s="1">
        <v>679.0</v>
      </c>
      <c r="E78" s="1">
        <v>679.0</v>
      </c>
      <c r="I78" s="2"/>
    </row>
    <row r="79">
      <c r="A79" s="1" t="s">
        <v>12</v>
      </c>
      <c r="B79" s="2">
        <v>46093.0</v>
      </c>
      <c r="C79" s="1">
        <v>1.0</v>
      </c>
      <c r="D79" s="1">
        <v>330.0</v>
      </c>
      <c r="E79" s="1">
        <v>330.0</v>
      </c>
      <c r="I79" s="2"/>
    </row>
    <row r="80">
      <c r="A80" s="1" t="s">
        <v>12</v>
      </c>
      <c r="B80" s="2">
        <v>46101.0</v>
      </c>
      <c r="C80" s="1">
        <v>1.0</v>
      </c>
      <c r="D80" s="1">
        <v>2479.0</v>
      </c>
      <c r="E80" s="1">
        <v>2479.0</v>
      </c>
      <c r="I80" s="2"/>
    </row>
    <row r="81">
      <c r="A81" s="1" t="s">
        <v>12</v>
      </c>
      <c r="B81" s="2">
        <v>46143.0</v>
      </c>
      <c r="C81" s="1">
        <v>1.0</v>
      </c>
      <c r="D81" s="1">
        <v>252.0</v>
      </c>
      <c r="E81" s="1">
        <v>252.0</v>
      </c>
      <c r="I81" s="2"/>
    </row>
    <row r="82">
      <c r="A82" s="1" t="s">
        <v>12</v>
      </c>
      <c r="B82" s="2">
        <v>46169.0</v>
      </c>
      <c r="C82" s="1">
        <v>1.0</v>
      </c>
      <c r="D82" s="1">
        <v>1806.0</v>
      </c>
      <c r="E82" s="1">
        <v>1806.0</v>
      </c>
      <c r="I82" s="2"/>
    </row>
    <row r="83">
      <c r="A83" s="1" t="s">
        <v>12</v>
      </c>
      <c r="B83" s="2">
        <v>46172.0</v>
      </c>
      <c r="C83" s="1">
        <v>1.0</v>
      </c>
      <c r="D83" s="1">
        <v>1785.0</v>
      </c>
      <c r="E83" s="1">
        <v>1785.0</v>
      </c>
      <c r="I83" s="2"/>
    </row>
    <row r="84">
      <c r="A84" s="1" t="s">
        <v>12</v>
      </c>
      <c r="B84" s="2">
        <v>46173.0</v>
      </c>
      <c r="C84" s="1">
        <v>1.0</v>
      </c>
      <c r="D84" s="1">
        <v>1790.0</v>
      </c>
      <c r="E84" s="1">
        <v>1790.0</v>
      </c>
      <c r="I84" s="2"/>
    </row>
    <row r="85">
      <c r="A85" s="1" t="s">
        <v>12</v>
      </c>
      <c r="B85" s="2">
        <v>46178.0</v>
      </c>
      <c r="C85" s="1">
        <v>1.0</v>
      </c>
      <c r="D85" s="1">
        <v>1593.0</v>
      </c>
      <c r="E85" s="1">
        <v>1593.0</v>
      </c>
      <c r="I85" s="2"/>
    </row>
    <row r="86">
      <c r="A86" s="1" t="s">
        <v>10</v>
      </c>
      <c r="B86" s="2">
        <v>46024.0</v>
      </c>
      <c r="C86" s="1">
        <v>1.0</v>
      </c>
      <c r="D86" s="1">
        <v>440.0</v>
      </c>
      <c r="E86" s="1">
        <v>440.0</v>
      </c>
      <c r="I86" s="2"/>
    </row>
    <row r="87">
      <c r="A87" s="1" t="s">
        <v>10</v>
      </c>
      <c r="B87" s="2">
        <v>46036.0</v>
      </c>
      <c r="C87" s="1">
        <v>1.0</v>
      </c>
      <c r="D87" s="1">
        <v>918.0</v>
      </c>
      <c r="E87" s="1">
        <v>918.0</v>
      </c>
      <c r="I87" s="2"/>
    </row>
    <row r="88">
      <c r="A88" s="1" t="s">
        <v>10</v>
      </c>
      <c r="B88" s="2">
        <v>46037.0</v>
      </c>
      <c r="C88" s="1">
        <v>1.0</v>
      </c>
      <c r="D88" s="1">
        <v>723.0</v>
      </c>
      <c r="E88" s="1">
        <v>723.0</v>
      </c>
      <c r="I88" s="2"/>
    </row>
    <row r="89">
      <c r="A89" s="1" t="s">
        <v>10</v>
      </c>
      <c r="B89" s="2">
        <v>46038.0</v>
      </c>
      <c r="C89" s="1">
        <v>1.0</v>
      </c>
      <c r="D89" s="1">
        <v>997.0</v>
      </c>
      <c r="E89" s="1">
        <v>997.0</v>
      </c>
      <c r="I89" s="2"/>
    </row>
    <row r="90">
      <c r="A90" s="1" t="s">
        <v>10</v>
      </c>
      <c r="B90" s="2">
        <v>46039.0</v>
      </c>
      <c r="C90" s="1">
        <v>1.0</v>
      </c>
      <c r="D90" s="1">
        <v>1849.0</v>
      </c>
      <c r="E90" s="1">
        <v>1849.0</v>
      </c>
      <c r="I90" s="2"/>
    </row>
    <row r="91">
      <c r="A91" s="1" t="s">
        <v>10</v>
      </c>
      <c r="B91" s="2">
        <v>46040.0</v>
      </c>
      <c r="C91" s="1">
        <v>4.0</v>
      </c>
      <c r="D91" s="1">
        <v>4142.0</v>
      </c>
      <c r="E91" s="1">
        <v>1035.5</v>
      </c>
      <c r="I91" s="2"/>
    </row>
    <row r="92">
      <c r="A92" s="1" t="s">
        <v>10</v>
      </c>
      <c r="B92" s="2">
        <v>46047.0</v>
      </c>
      <c r="C92" s="1">
        <v>1.0</v>
      </c>
      <c r="D92" s="1">
        <v>1430.0</v>
      </c>
      <c r="E92" s="1">
        <v>1430.0</v>
      </c>
      <c r="I92" s="2"/>
    </row>
    <row r="93">
      <c r="A93" s="1" t="s">
        <v>10</v>
      </c>
      <c r="B93" s="2">
        <v>46056.0</v>
      </c>
      <c r="C93" s="1">
        <v>2.0</v>
      </c>
      <c r="D93" s="1">
        <v>2419.0</v>
      </c>
      <c r="E93" s="1">
        <v>1209.5</v>
      </c>
      <c r="I93" s="2"/>
    </row>
    <row r="94">
      <c r="A94" s="1" t="s">
        <v>10</v>
      </c>
      <c r="B94" s="2">
        <v>46062.0</v>
      </c>
      <c r="C94" s="1">
        <v>1.0</v>
      </c>
      <c r="D94" s="1">
        <v>2125.0</v>
      </c>
      <c r="E94" s="1">
        <v>2125.0</v>
      </c>
      <c r="I94" s="2"/>
    </row>
    <row r="95">
      <c r="A95" s="1" t="s">
        <v>10</v>
      </c>
      <c r="B95" s="2">
        <v>46072.0</v>
      </c>
      <c r="C95" s="1">
        <v>1.0</v>
      </c>
      <c r="D95" s="1">
        <v>1036.0</v>
      </c>
      <c r="E95" s="1">
        <v>1036.0</v>
      </c>
      <c r="I95" s="2"/>
    </row>
    <row r="96">
      <c r="A96" s="1" t="s">
        <v>10</v>
      </c>
      <c r="B96" s="2">
        <v>46079.0</v>
      </c>
      <c r="C96" s="1">
        <v>1.0</v>
      </c>
      <c r="D96" s="1">
        <v>697.0</v>
      </c>
      <c r="E96" s="1">
        <v>697.0</v>
      </c>
      <c r="I96" s="2"/>
    </row>
    <row r="97">
      <c r="A97" s="1" t="s">
        <v>10</v>
      </c>
      <c r="B97" s="2">
        <v>46086.0</v>
      </c>
      <c r="C97" s="1">
        <v>2.0</v>
      </c>
      <c r="D97" s="1">
        <v>1289.0</v>
      </c>
      <c r="E97" s="1">
        <v>644.5</v>
      </c>
      <c r="I97" s="2"/>
    </row>
    <row r="98">
      <c r="A98" s="1" t="s">
        <v>10</v>
      </c>
      <c r="B98" s="2">
        <v>46087.0</v>
      </c>
      <c r="C98" s="1">
        <v>1.0</v>
      </c>
      <c r="D98" s="1">
        <v>485.0</v>
      </c>
      <c r="E98" s="1">
        <v>485.0</v>
      </c>
      <c r="I98" s="2"/>
    </row>
    <row r="99">
      <c r="A99" s="1" t="s">
        <v>10</v>
      </c>
      <c r="B99" s="2">
        <v>46092.0</v>
      </c>
      <c r="C99" s="1">
        <v>1.0</v>
      </c>
      <c r="D99" s="1">
        <v>2199.0</v>
      </c>
      <c r="E99" s="1">
        <v>2199.0</v>
      </c>
      <c r="I99" s="2"/>
    </row>
    <row r="100">
      <c r="A100" s="1" t="s">
        <v>10</v>
      </c>
      <c r="B100" s="2">
        <v>46094.0</v>
      </c>
      <c r="C100" s="1">
        <v>1.0</v>
      </c>
      <c r="D100" s="1">
        <v>2044.0</v>
      </c>
      <c r="E100" s="1">
        <v>2044.0</v>
      </c>
      <c r="I100" s="2"/>
    </row>
    <row r="101">
      <c r="A101" s="1" t="s">
        <v>10</v>
      </c>
      <c r="B101" s="2">
        <v>46095.0</v>
      </c>
      <c r="C101" s="1">
        <v>1.0</v>
      </c>
      <c r="D101" s="1">
        <v>1182.0</v>
      </c>
      <c r="E101" s="1">
        <v>1182.0</v>
      </c>
      <c r="I101" s="2"/>
    </row>
    <row r="102">
      <c r="A102" s="1" t="s">
        <v>10</v>
      </c>
      <c r="B102" s="2">
        <v>46099.0</v>
      </c>
      <c r="C102" s="1">
        <v>1.0</v>
      </c>
      <c r="D102" s="1">
        <v>741.0</v>
      </c>
      <c r="E102" s="1">
        <v>741.0</v>
      </c>
      <c r="I102" s="2"/>
    </row>
    <row r="103">
      <c r="A103" s="1" t="s">
        <v>10</v>
      </c>
      <c r="B103" s="2">
        <v>46109.0</v>
      </c>
      <c r="C103" s="1">
        <v>1.0</v>
      </c>
      <c r="D103" s="1">
        <v>1806.0</v>
      </c>
      <c r="E103" s="1">
        <v>1806.0</v>
      </c>
      <c r="I103" s="2"/>
    </row>
    <row r="104">
      <c r="A104" s="1" t="s">
        <v>10</v>
      </c>
      <c r="B104" s="2">
        <v>46111.0</v>
      </c>
      <c r="C104" s="1">
        <v>1.0</v>
      </c>
      <c r="D104" s="1">
        <v>749.0</v>
      </c>
      <c r="E104" s="1">
        <v>749.0</v>
      </c>
      <c r="I104" s="2"/>
    </row>
    <row r="105">
      <c r="A105" s="1" t="s">
        <v>10</v>
      </c>
      <c r="B105" s="2">
        <v>46116.0</v>
      </c>
      <c r="C105" s="1">
        <v>1.0</v>
      </c>
      <c r="D105" s="1">
        <v>1916.0</v>
      </c>
      <c r="E105" s="1">
        <v>1916.0</v>
      </c>
      <c r="I105" s="2"/>
    </row>
    <row r="106">
      <c r="A106" s="1" t="s">
        <v>10</v>
      </c>
      <c r="B106" s="2">
        <v>46118.0</v>
      </c>
      <c r="C106" s="1">
        <v>1.0</v>
      </c>
      <c r="D106" s="1">
        <v>1188.0</v>
      </c>
      <c r="E106" s="1">
        <v>1188.0</v>
      </c>
      <c r="I106" s="2"/>
    </row>
    <row r="107">
      <c r="A107" s="1" t="s">
        <v>10</v>
      </c>
      <c r="B107" s="2">
        <v>46128.0</v>
      </c>
      <c r="C107" s="1">
        <v>1.0</v>
      </c>
      <c r="D107" s="1">
        <v>2205.0</v>
      </c>
      <c r="E107" s="1">
        <v>2205.0</v>
      </c>
      <c r="I107" s="2"/>
    </row>
    <row r="108">
      <c r="A108" s="1" t="s">
        <v>10</v>
      </c>
      <c r="B108" s="2">
        <v>46129.0</v>
      </c>
      <c r="C108" s="1">
        <v>1.0</v>
      </c>
      <c r="D108" s="1">
        <v>2432.0</v>
      </c>
      <c r="E108" s="1">
        <v>2432.0</v>
      </c>
      <c r="I108" s="2"/>
    </row>
    <row r="109">
      <c r="A109" s="1" t="s">
        <v>10</v>
      </c>
      <c r="B109" s="2">
        <v>46130.0</v>
      </c>
      <c r="C109" s="1">
        <v>1.0</v>
      </c>
      <c r="D109" s="1">
        <v>2354.0</v>
      </c>
      <c r="E109" s="1">
        <v>2354.0</v>
      </c>
      <c r="I109" s="2"/>
    </row>
    <row r="110">
      <c r="A110" s="1" t="s">
        <v>10</v>
      </c>
      <c r="B110" s="2">
        <v>46131.0</v>
      </c>
      <c r="C110" s="1">
        <v>1.0</v>
      </c>
      <c r="D110" s="1">
        <v>620.0</v>
      </c>
      <c r="E110" s="1">
        <v>620.0</v>
      </c>
      <c r="I110" s="2"/>
    </row>
    <row r="111">
      <c r="A111" s="1" t="s">
        <v>10</v>
      </c>
      <c r="B111" s="2">
        <v>46132.0</v>
      </c>
      <c r="C111" s="1">
        <v>1.0</v>
      </c>
      <c r="D111" s="1">
        <v>2260.0</v>
      </c>
      <c r="E111" s="1">
        <v>2260.0</v>
      </c>
      <c r="I111" s="2"/>
    </row>
    <row r="112">
      <c r="A112" s="1" t="s">
        <v>10</v>
      </c>
      <c r="B112" s="2">
        <v>46139.0</v>
      </c>
      <c r="C112" s="1">
        <v>1.0</v>
      </c>
      <c r="D112" s="1">
        <v>1669.0</v>
      </c>
      <c r="E112" s="1">
        <v>1669.0</v>
      </c>
      <c r="I112" s="2"/>
    </row>
    <row r="113">
      <c r="A113" s="1" t="s">
        <v>10</v>
      </c>
      <c r="B113" s="2">
        <v>46147.0</v>
      </c>
      <c r="C113" s="1">
        <v>2.0</v>
      </c>
      <c r="D113" s="1">
        <v>2066.0</v>
      </c>
      <c r="E113" s="1">
        <v>1033.0</v>
      </c>
      <c r="I113" s="2"/>
    </row>
    <row r="114">
      <c r="A114" s="1" t="s">
        <v>10</v>
      </c>
      <c r="B114" s="2">
        <v>46150.0</v>
      </c>
      <c r="C114" s="1">
        <v>1.0</v>
      </c>
      <c r="D114" s="1">
        <v>2270.0</v>
      </c>
      <c r="E114" s="1">
        <v>2270.0</v>
      </c>
      <c r="I114" s="2"/>
    </row>
    <row r="115">
      <c r="A115" s="1" t="s">
        <v>10</v>
      </c>
      <c r="B115" s="2">
        <v>46154.0</v>
      </c>
      <c r="C115" s="1">
        <v>1.0</v>
      </c>
      <c r="D115" s="1">
        <v>154.0</v>
      </c>
      <c r="E115" s="1">
        <v>154.0</v>
      </c>
      <c r="I115" s="2"/>
    </row>
    <row r="116">
      <c r="A116" s="1" t="s">
        <v>10</v>
      </c>
      <c r="B116" s="2">
        <v>46156.0</v>
      </c>
      <c r="C116" s="1">
        <v>1.0</v>
      </c>
      <c r="D116" s="1">
        <v>1708.0</v>
      </c>
      <c r="E116" s="1">
        <v>1708.0</v>
      </c>
      <c r="I116" s="2"/>
    </row>
    <row r="117">
      <c r="A117" s="1" t="s">
        <v>10</v>
      </c>
      <c r="B117" s="2">
        <v>46169.0</v>
      </c>
      <c r="C117" s="1">
        <v>1.0</v>
      </c>
      <c r="D117" s="1">
        <v>2348.0</v>
      </c>
      <c r="E117" s="1">
        <v>2348.0</v>
      </c>
      <c r="I117" s="2"/>
    </row>
    <row r="118">
      <c r="A118" s="1" t="s">
        <v>10</v>
      </c>
      <c r="B118" s="2">
        <v>46188.0</v>
      </c>
      <c r="C118" s="1">
        <v>1.0</v>
      </c>
      <c r="D118" s="1">
        <v>408.0</v>
      </c>
      <c r="E118" s="1">
        <v>408.0</v>
      </c>
      <c r="I118" s="2"/>
    </row>
    <row r="119">
      <c r="A119" s="1" t="s">
        <v>10</v>
      </c>
      <c r="B119" s="2">
        <v>46190.0</v>
      </c>
      <c r="C119" s="1">
        <v>1.0</v>
      </c>
      <c r="D119" s="1">
        <v>2098.0</v>
      </c>
      <c r="E119" s="1">
        <v>2098.0</v>
      </c>
      <c r="I119" s="2"/>
    </row>
    <row r="120">
      <c r="A120" s="1" t="s">
        <v>10</v>
      </c>
      <c r="B120" s="2">
        <v>46201.0</v>
      </c>
      <c r="C120" s="1">
        <v>1.0</v>
      </c>
      <c r="D120" s="1">
        <v>1722.0</v>
      </c>
      <c r="E120" s="1">
        <v>1722.0</v>
      </c>
      <c r="I120" s="2"/>
    </row>
    <row r="121">
      <c r="A121" s="1" t="s">
        <v>10</v>
      </c>
      <c r="B121" s="2">
        <v>46203.0</v>
      </c>
      <c r="C121" s="1">
        <v>1.0</v>
      </c>
      <c r="D121" s="1">
        <v>434.0</v>
      </c>
      <c r="E121" s="1">
        <v>434.0</v>
      </c>
      <c r="I121" s="2"/>
    </row>
    <row r="122">
      <c r="A122" s="1" t="s">
        <v>13</v>
      </c>
      <c r="B122" s="2">
        <v>46043.0</v>
      </c>
      <c r="C122" s="1">
        <v>1.0</v>
      </c>
      <c r="D122" s="1">
        <v>1716.0</v>
      </c>
      <c r="E122" s="1">
        <v>1716.0</v>
      </c>
      <c r="I122" s="2"/>
    </row>
    <row r="123">
      <c r="A123" s="1" t="s">
        <v>13</v>
      </c>
      <c r="B123" s="2">
        <v>46060.0</v>
      </c>
      <c r="C123" s="1">
        <v>1.0</v>
      </c>
      <c r="D123" s="1">
        <v>1142.0</v>
      </c>
      <c r="E123" s="1">
        <v>1142.0</v>
      </c>
      <c r="I123" s="2"/>
    </row>
    <row r="124">
      <c r="A124" s="1" t="s">
        <v>13</v>
      </c>
      <c r="B124" s="2">
        <v>46115.0</v>
      </c>
      <c r="C124" s="1">
        <v>1.0</v>
      </c>
      <c r="D124" s="1">
        <v>2233.0</v>
      </c>
      <c r="E124" s="1">
        <v>2233.0</v>
      </c>
      <c r="I124" s="2"/>
    </row>
    <row r="125">
      <c r="A125" s="1" t="s">
        <v>13</v>
      </c>
      <c r="B125" s="2">
        <v>46119.0</v>
      </c>
      <c r="C125" s="1">
        <v>1.0</v>
      </c>
      <c r="D125" s="1">
        <v>478.0</v>
      </c>
      <c r="E125" s="1">
        <v>478.0</v>
      </c>
      <c r="I125" s="2"/>
    </row>
    <row r="126">
      <c r="A126" s="1" t="s">
        <v>13</v>
      </c>
      <c r="B126" s="2">
        <v>46124.0</v>
      </c>
      <c r="C126" s="1">
        <v>1.0</v>
      </c>
      <c r="D126" s="1">
        <v>962.0</v>
      </c>
      <c r="E126" s="1">
        <v>962.0</v>
      </c>
      <c r="I126" s="2"/>
    </row>
    <row r="127">
      <c r="A127" s="1" t="s">
        <v>13</v>
      </c>
      <c r="B127" s="2">
        <v>46135.0</v>
      </c>
      <c r="C127" s="1">
        <v>1.0</v>
      </c>
      <c r="D127" s="1">
        <v>328.0</v>
      </c>
      <c r="E127" s="1">
        <v>328.0</v>
      </c>
      <c r="I127" s="2"/>
    </row>
    <row r="128">
      <c r="A128" s="1" t="s">
        <v>13</v>
      </c>
      <c r="B128" s="2">
        <v>46136.0</v>
      </c>
      <c r="C128" s="1">
        <v>1.0</v>
      </c>
      <c r="D128" s="1">
        <v>509.0</v>
      </c>
      <c r="E128" s="1">
        <v>509.0</v>
      </c>
      <c r="I128" s="2"/>
    </row>
    <row r="129">
      <c r="A129" s="1" t="s">
        <v>13</v>
      </c>
      <c r="B129" s="2">
        <v>46157.0</v>
      </c>
      <c r="C129" s="1">
        <v>1.0</v>
      </c>
      <c r="D129" s="1">
        <v>1455.0</v>
      </c>
      <c r="E129" s="1">
        <v>1455.0</v>
      </c>
      <c r="I129" s="2"/>
    </row>
    <row r="130">
      <c r="A130" s="1" t="s">
        <v>13</v>
      </c>
      <c r="B130" s="2">
        <v>46180.0</v>
      </c>
      <c r="C130" s="1">
        <v>1.0</v>
      </c>
      <c r="D130" s="1">
        <v>2481.0</v>
      </c>
      <c r="E130" s="1">
        <v>2481.0</v>
      </c>
      <c r="I130" s="2"/>
    </row>
    <row r="131">
      <c r="A131" s="1" t="s">
        <v>13</v>
      </c>
      <c r="B131" s="2">
        <v>46183.0</v>
      </c>
      <c r="C131" s="1">
        <v>1.0</v>
      </c>
      <c r="D131" s="1">
        <v>1899.0</v>
      </c>
      <c r="E131" s="1">
        <v>1899.0</v>
      </c>
      <c r="I131" s="2"/>
    </row>
    <row r="132">
      <c r="A132" s="1" t="s">
        <v>13</v>
      </c>
      <c r="B132" s="2">
        <v>46191.0</v>
      </c>
      <c r="C132" s="1">
        <v>1.0</v>
      </c>
      <c r="D132" s="1">
        <v>1532.0</v>
      </c>
      <c r="E132" s="1">
        <v>1532.0</v>
      </c>
      <c r="I132" s="2"/>
    </row>
    <row r="133">
      <c r="A133" s="1" t="s">
        <v>3</v>
      </c>
      <c r="B133" s="2">
        <v>46024.0</v>
      </c>
      <c r="C133" s="1">
        <v>1.0</v>
      </c>
      <c r="D133" s="1">
        <v>987.0</v>
      </c>
      <c r="E133" s="1">
        <v>987.0</v>
      </c>
      <c r="I133" s="2"/>
    </row>
    <row r="134">
      <c r="A134" s="1" t="s">
        <v>3</v>
      </c>
      <c r="B134" s="2">
        <v>46028.0</v>
      </c>
      <c r="C134" s="1">
        <v>1.0</v>
      </c>
      <c r="D134" s="1">
        <v>1771.0</v>
      </c>
      <c r="E134" s="1">
        <v>1771.0</v>
      </c>
      <c r="I134" s="2"/>
    </row>
    <row r="135">
      <c r="A135" s="1" t="s">
        <v>3</v>
      </c>
      <c r="B135" s="2">
        <v>46031.0</v>
      </c>
      <c r="C135" s="1">
        <v>3.0</v>
      </c>
      <c r="D135" s="1">
        <v>4814.0</v>
      </c>
      <c r="E135" s="1">
        <v>1604.66666666667</v>
      </c>
      <c r="I135" s="2"/>
    </row>
    <row r="136">
      <c r="A136" s="1" t="s">
        <v>3</v>
      </c>
      <c r="B136" s="2">
        <v>46032.0</v>
      </c>
      <c r="C136" s="1">
        <v>2.0</v>
      </c>
      <c r="D136" s="1">
        <v>2283.0</v>
      </c>
      <c r="E136" s="1">
        <v>1141.5</v>
      </c>
      <c r="I136" s="2"/>
    </row>
    <row r="137">
      <c r="A137" s="1" t="s">
        <v>3</v>
      </c>
      <c r="B137" s="2">
        <v>46033.0</v>
      </c>
      <c r="C137" s="1">
        <v>1.0</v>
      </c>
      <c r="D137" s="1">
        <v>1594.0</v>
      </c>
      <c r="E137" s="1">
        <v>1594.0</v>
      </c>
      <c r="I137" s="2"/>
    </row>
    <row r="138">
      <c r="A138" s="1" t="s">
        <v>3</v>
      </c>
      <c r="B138" s="2">
        <v>46034.0</v>
      </c>
      <c r="C138" s="1">
        <v>3.0</v>
      </c>
      <c r="D138" s="1">
        <v>4130.0</v>
      </c>
      <c r="E138" s="1">
        <v>1376.66666666667</v>
      </c>
      <c r="I138" s="2"/>
    </row>
    <row r="139">
      <c r="A139" s="1" t="s">
        <v>3</v>
      </c>
      <c r="B139" s="2">
        <v>46035.0</v>
      </c>
      <c r="C139" s="1">
        <v>1.0</v>
      </c>
      <c r="D139" s="1">
        <v>2325.0</v>
      </c>
      <c r="E139" s="1">
        <v>2325.0</v>
      </c>
      <c r="I139" s="2"/>
    </row>
    <row r="140">
      <c r="A140" s="1" t="s">
        <v>3</v>
      </c>
      <c r="B140" s="2">
        <v>46036.0</v>
      </c>
      <c r="C140" s="1">
        <v>1.0</v>
      </c>
      <c r="D140" s="1">
        <v>669.0</v>
      </c>
      <c r="E140" s="1">
        <v>669.0</v>
      </c>
      <c r="I140" s="2"/>
    </row>
    <row r="141">
      <c r="A141" s="1" t="s">
        <v>3</v>
      </c>
      <c r="B141" s="2">
        <v>46038.0</v>
      </c>
      <c r="C141" s="1">
        <v>1.0</v>
      </c>
      <c r="D141" s="1">
        <v>634.0</v>
      </c>
      <c r="E141" s="1">
        <v>634.0</v>
      </c>
      <c r="I141" s="2"/>
    </row>
    <row r="142">
      <c r="A142" s="1" t="s">
        <v>3</v>
      </c>
      <c r="B142" s="2">
        <v>46040.0</v>
      </c>
      <c r="C142" s="1">
        <v>1.0</v>
      </c>
      <c r="D142" s="1">
        <v>2083.0</v>
      </c>
      <c r="E142" s="1">
        <v>2083.0</v>
      </c>
      <c r="I142" s="2"/>
    </row>
    <row r="143">
      <c r="A143" s="1" t="s">
        <v>3</v>
      </c>
      <c r="B143" s="2">
        <v>46041.0</v>
      </c>
      <c r="C143" s="1">
        <v>3.0</v>
      </c>
      <c r="D143" s="1">
        <v>3132.0</v>
      </c>
      <c r="E143" s="1">
        <v>1044.0</v>
      </c>
      <c r="I143" s="2"/>
    </row>
    <row r="144">
      <c r="A144" s="1" t="s">
        <v>3</v>
      </c>
      <c r="B144" s="2">
        <v>46042.0</v>
      </c>
      <c r="C144" s="1">
        <v>2.0</v>
      </c>
      <c r="D144" s="1">
        <v>4313.0</v>
      </c>
      <c r="E144" s="1">
        <v>2156.5</v>
      </c>
      <c r="I144" s="2"/>
    </row>
    <row r="145">
      <c r="A145" s="1" t="s">
        <v>3</v>
      </c>
      <c r="B145" s="2">
        <v>46050.0</v>
      </c>
      <c r="C145" s="1">
        <v>1.0</v>
      </c>
      <c r="D145" s="1">
        <v>1891.0</v>
      </c>
      <c r="E145" s="1">
        <v>1891.0</v>
      </c>
      <c r="I145" s="2"/>
    </row>
    <row r="146">
      <c r="A146" s="1" t="s">
        <v>3</v>
      </c>
      <c r="B146" s="2">
        <v>46051.0</v>
      </c>
      <c r="C146" s="1">
        <v>1.0</v>
      </c>
      <c r="D146" s="1">
        <v>2197.0</v>
      </c>
      <c r="E146" s="1">
        <v>2197.0</v>
      </c>
      <c r="I146" s="2"/>
    </row>
    <row r="147">
      <c r="A147" s="1" t="s">
        <v>3</v>
      </c>
      <c r="B147" s="2">
        <v>46052.0</v>
      </c>
      <c r="C147" s="1">
        <v>2.0</v>
      </c>
      <c r="D147" s="1">
        <v>2210.0</v>
      </c>
      <c r="E147" s="1">
        <v>1105.0</v>
      </c>
      <c r="I147" s="2"/>
    </row>
    <row r="148">
      <c r="A148" s="1" t="s">
        <v>3</v>
      </c>
      <c r="B148" s="2">
        <v>46053.0</v>
      </c>
      <c r="C148" s="1">
        <v>1.0</v>
      </c>
      <c r="D148" s="1">
        <v>2435.0</v>
      </c>
      <c r="E148" s="1">
        <v>2435.0</v>
      </c>
      <c r="I148" s="2"/>
    </row>
    <row r="149">
      <c r="A149" s="1" t="s">
        <v>3</v>
      </c>
      <c r="B149" s="2">
        <v>46055.0</v>
      </c>
      <c r="C149" s="1">
        <v>2.0</v>
      </c>
      <c r="D149" s="1">
        <v>3537.0</v>
      </c>
      <c r="E149" s="1">
        <v>1768.5</v>
      </c>
      <c r="I149" s="2"/>
    </row>
    <row r="150">
      <c r="A150" s="1" t="s">
        <v>3</v>
      </c>
      <c r="B150" s="2">
        <v>46057.0</v>
      </c>
      <c r="C150" s="1">
        <v>1.0</v>
      </c>
      <c r="D150" s="1">
        <v>2053.0</v>
      </c>
      <c r="E150" s="1">
        <v>2053.0</v>
      </c>
      <c r="I150" s="2"/>
    </row>
    <row r="151">
      <c r="A151" s="1" t="s">
        <v>3</v>
      </c>
      <c r="B151" s="2">
        <v>46058.0</v>
      </c>
      <c r="C151" s="1">
        <v>2.0</v>
      </c>
      <c r="D151" s="1">
        <v>1757.0</v>
      </c>
      <c r="E151" s="1">
        <v>878.5</v>
      </c>
      <c r="I151" s="2"/>
    </row>
    <row r="152">
      <c r="A152" s="1" t="s">
        <v>3</v>
      </c>
      <c r="B152" s="2">
        <v>46059.0</v>
      </c>
      <c r="C152" s="1">
        <v>1.0</v>
      </c>
      <c r="D152" s="1">
        <v>546.0</v>
      </c>
      <c r="E152" s="1">
        <v>546.0</v>
      </c>
      <c r="I152" s="2"/>
    </row>
    <row r="153">
      <c r="A153" s="1" t="s">
        <v>3</v>
      </c>
      <c r="B153" s="2">
        <v>46061.0</v>
      </c>
      <c r="C153" s="1">
        <v>2.0</v>
      </c>
      <c r="D153" s="1">
        <v>2740.0</v>
      </c>
      <c r="E153" s="1">
        <v>1370.0</v>
      </c>
      <c r="I153" s="2"/>
    </row>
    <row r="154">
      <c r="A154" s="1" t="s">
        <v>3</v>
      </c>
      <c r="B154" s="2">
        <v>46062.0</v>
      </c>
      <c r="C154" s="1">
        <v>1.0</v>
      </c>
      <c r="D154" s="1">
        <v>927.0</v>
      </c>
      <c r="E154" s="1">
        <v>927.0</v>
      </c>
      <c r="I154" s="2"/>
    </row>
    <row r="155">
      <c r="A155" s="1" t="s">
        <v>3</v>
      </c>
      <c r="B155" s="2">
        <v>46063.0</v>
      </c>
      <c r="C155" s="1">
        <v>1.0</v>
      </c>
      <c r="D155" s="1">
        <v>1950.0</v>
      </c>
      <c r="E155" s="1">
        <v>1950.0</v>
      </c>
      <c r="I155" s="2"/>
    </row>
    <row r="156">
      <c r="A156" s="1" t="s">
        <v>3</v>
      </c>
      <c r="B156" s="2">
        <v>46064.0</v>
      </c>
      <c r="C156" s="1">
        <v>2.0</v>
      </c>
      <c r="D156" s="1">
        <v>4002.0</v>
      </c>
      <c r="E156" s="1">
        <v>2001.0</v>
      </c>
      <c r="I156" s="2"/>
    </row>
    <row r="157">
      <c r="A157" s="1" t="s">
        <v>3</v>
      </c>
      <c r="B157" s="2">
        <v>46065.0</v>
      </c>
      <c r="C157" s="1">
        <v>2.0</v>
      </c>
      <c r="D157" s="1">
        <v>3516.0</v>
      </c>
      <c r="E157" s="1">
        <v>1758.0</v>
      </c>
      <c r="I157" s="2"/>
    </row>
    <row r="158">
      <c r="A158" s="1" t="s">
        <v>3</v>
      </c>
      <c r="B158" s="2">
        <v>46066.0</v>
      </c>
      <c r="C158" s="1">
        <v>1.0</v>
      </c>
      <c r="D158" s="1">
        <v>497.0</v>
      </c>
      <c r="E158" s="1">
        <v>497.0</v>
      </c>
      <c r="I158" s="2"/>
    </row>
    <row r="159">
      <c r="A159" s="1" t="s">
        <v>3</v>
      </c>
      <c r="B159" s="2">
        <v>46067.0</v>
      </c>
      <c r="C159" s="1">
        <v>2.0</v>
      </c>
      <c r="D159" s="1">
        <v>3010.0</v>
      </c>
      <c r="E159" s="1">
        <v>1505.0</v>
      </c>
      <c r="I159" s="2"/>
    </row>
    <row r="160">
      <c r="A160" s="1" t="s">
        <v>3</v>
      </c>
      <c r="B160" s="2">
        <v>46072.0</v>
      </c>
      <c r="C160" s="1">
        <v>2.0</v>
      </c>
      <c r="D160" s="1">
        <v>2088.0</v>
      </c>
      <c r="E160" s="1">
        <v>1044.0</v>
      </c>
      <c r="I160" s="2"/>
    </row>
    <row r="161">
      <c r="A161" s="1" t="s">
        <v>3</v>
      </c>
      <c r="B161" s="2">
        <v>46073.0</v>
      </c>
      <c r="C161" s="1">
        <v>1.0</v>
      </c>
      <c r="D161" s="1">
        <v>2406.0</v>
      </c>
      <c r="E161" s="1">
        <v>2406.0</v>
      </c>
      <c r="I161" s="2"/>
    </row>
    <row r="162">
      <c r="A162" s="1" t="s">
        <v>3</v>
      </c>
      <c r="B162" s="2">
        <v>46074.0</v>
      </c>
      <c r="C162" s="1">
        <v>1.0</v>
      </c>
      <c r="D162" s="1">
        <v>652.0</v>
      </c>
      <c r="E162" s="1">
        <v>652.0</v>
      </c>
      <c r="I162" s="2"/>
    </row>
    <row r="163">
      <c r="A163" s="1" t="s">
        <v>3</v>
      </c>
      <c r="B163" s="2">
        <v>46075.0</v>
      </c>
      <c r="C163" s="1">
        <v>1.0</v>
      </c>
      <c r="D163" s="1">
        <v>1502.0</v>
      </c>
      <c r="E163" s="1">
        <v>1502.0</v>
      </c>
      <c r="I163" s="2"/>
    </row>
    <row r="164">
      <c r="A164" s="1" t="s">
        <v>3</v>
      </c>
      <c r="B164" s="2">
        <v>46077.0</v>
      </c>
      <c r="C164" s="1">
        <v>1.0</v>
      </c>
      <c r="D164" s="1">
        <v>2358.0</v>
      </c>
      <c r="E164" s="1">
        <v>2358.0</v>
      </c>
      <c r="I164" s="2"/>
    </row>
    <row r="165">
      <c r="A165" s="1" t="s">
        <v>3</v>
      </c>
      <c r="B165" s="2">
        <v>46079.0</v>
      </c>
      <c r="C165" s="1">
        <v>1.0</v>
      </c>
      <c r="D165" s="1">
        <v>1806.0</v>
      </c>
      <c r="E165" s="1">
        <v>1806.0</v>
      </c>
      <c r="I165" s="2"/>
    </row>
    <row r="166">
      <c r="A166" s="1" t="s">
        <v>3</v>
      </c>
      <c r="B166" s="2">
        <v>46081.0</v>
      </c>
      <c r="C166" s="1">
        <v>2.0</v>
      </c>
      <c r="D166" s="1">
        <v>3472.0</v>
      </c>
      <c r="E166" s="1">
        <v>1736.0</v>
      </c>
      <c r="I166" s="2"/>
    </row>
    <row r="167">
      <c r="A167" s="1" t="s">
        <v>3</v>
      </c>
      <c r="B167" s="2">
        <v>46084.0</v>
      </c>
      <c r="C167" s="1">
        <v>1.0</v>
      </c>
      <c r="D167" s="1">
        <v>1031.0</v>
      </c>
      <c r="E167" s="1">
        <v>1031.0</v>
      </c>
      <c r="I167" s="2"/>
    </row>
    <row r="168">
      <c r="A168" s="1" t="s">
        <v>3</v>
      </c>
      <c r="B168" s="2">
        <v>46085.0</v>
      </c>
      <c r="C168" s="1">
        <v>3.0</v>
      </c>
      <c r="D168" s="1">
        <v>4081.0</v>
      </c>
      <c r="E168" s="1">
        <v>1360.33333333333</v>
      </c>
      <c r="I168" s="2"/>
    </row>
    <row r="169">
      <c r="A169" s="1" t="s">
        <v>3</v>
      </c>
      <c r="B169" s="2">
        <v>46086.0</v>
      </c>
      <c r="C169" s="1">
        <v>1.0</v>
      </c>
      <c r="D169" s="1">
        <v>966.0</v>
      </c>
      <c r="E169" s="1">
        <v>966.0</v>
      </c>
      <c r="I169" s="2"/>
    </row>
    <row r="170">
      <c r="A170" s="1" t="s">
        <v>3</v>
      </c>
      <c r="B170" s="2">
        <v>46088.0</v>
      </c>
      <c r="C170" s="1">
        <v>1.0</v>
      </c>
      <c r="D170" s="1">
        <v>1033.0</v>
      </c>
      <c r="E170" s="1">
        <v>1033.0</v>
      </c>
      <c r="I170" s="2"/>
    </row>
    <row r="171">
      <c r="A171" s="1" t="s">
        <v>3</v>
      </c>
      <c r="B171" s="2">
        <v>46089.0</v>
      </c>
      <c r="C171" s="1">
        <v>1.0</v>
      </c>
      <c r="D171" s="1">
        <v>1977.0</v>
      </c>
      <c r="E171" s="1">
        <v>1977.0</v>
      </c>
      <c r="I171" s="2"/>
    </row>
    <row r="172">
      <c r="A172" s="1" t="s">
        <v>3</v>
      </c>
      <c r="B172" s="2">
        <v>46091.0</v>
      </c>
      <c r="C172" s="1">
        <v>1.0</v>
      </c>
      <c r="D172" s="1">
        <v>802.0</v>
      </c>
      <c r="E172" s="1">
        <v>802.0</v>
      </c>
      <c r="I172" s="2"/>
    </row>
    <row r="173">
      <c r="A173" s="1" t="s">
        <v>3</v>
      </c>
      <c r="B173" s="2">
        <v>46092.0</v>
      </c>
      <c r="C173" s="1">
        <v>1.0</v>
      </c>
      <c r="D173" s="1">
        <v>939.0</v>
      </c>
      <c r="E173" s="1">
        <v>939.0</v>
      </c>
      <c r="I173" s="2"/>
    </row>
    <row r="174">
      <c r="A174" s="1" t="s">
        <v>3</v>
      </c>
      <c r="B174" s="2">
        <v>46093.0</v>
      </c>
      <c r="C174" s="1">
        <v>1.0</v>
      </c>
      <c r="D174" s="1">
        <v>380.0</v>
      </c>
      <c r="E174" s="1">
        <v>380.0</v>
      </c>
      <c r="I174" s="2"/>
    </row>
    <row r="175">
      <c r="A175" s="1" t="s">
        <v>3</v>
      </c>
      <c r="B175" s="2">
        <v>46096.0</v>
      </c>
      <c r="C175" s="1">
        <v>6.0</v>
      </c>
      <c r="D175" s="1">
        <v>7079.0</v>
      </c>
      <c r="E175" s="1">
        <v>1179.83333333333</v>
      </c>
      <c r="I175" s="2"/>
    </row>
    <row r="176">
      <c r="A176" s="1" t="s">
        <v>3</v>
      </c>
      <c r="B176" s="2">
        <v>46098.0</v>
      </c>
      <c r="C176" s="1">
        <v>1.0</v>
      </c>
      <c r="D176" s="1">
        <v>564.0</v>
      </c>
      <c r="E176" s="1">
        <v>564.0</v>
      </c>
      <c r="I176" s="2"/>
    </row>
    <row r="177">
      <c r="A177" s="1" t="s">
        <v>3</v>
      </c>
      <c r="B177" s="2">
        <v>46101.0</v>
      </c>
      <c r="C177" s="1">
        <v>1.0</v>
      </c>
      <c r="D177" s="1">
        <v>2187.0</v>
      </c>
      <c r="E177" s="1">
        <v>2187.0</v>
      </c>
      <c r="I177" s="2"/>
    </row>
    <row r="178">
      <c r="A178" s="1" t="s">
        <v>3</v>
      </c>
      <c r="B178" s="2">
        <v>46103.0</v>
      </c>
      <c r="C178" s="1">
        <v>1.0</v>
      </c>
      <c r="D178" s="1">
        <v>384.0</v>
      </c>
      <c r="E178" s="1">
        <v>384.0</v>
      </c>
      <c r="I178" s="2"/>
    </row>
    <row r="179">
      <c r="A179" s="1" t="s">
        <v>3</v>
      </c>
      <c r="B179" s="2">
        <v>46105.0</v>
      </c>
      <c r="C179" s="1">
        <v>2.0</v>
      </c>
      <c r="D179" s="1">
        <v>1889.0</v>
      </c>
      <c r="E179" s="1">
        <v>944.5</v>
      </c>
      <c r="I179" s="2"/>
    </row>
    <row r="180">
      <c r="A180" s="1" t="s">
        <v>3</v>
      </c>
      <c r="B180" s="2">
        <v>46109.0</v>
      </c>
      <c r="C180" s="1">
        <v>2.0</v>
      </c>
      <c r="D180" s="1">
        <v>857.0</v>
      </c>
      <c r="E180" s="1">
        <v>428.5</v>
      </c>
      <c r="I180" s="2"/>
    </row>
    <row r="181">
      <c r="A181" s="1" t="s">
        <v>3</v>
      </c>
      <c r="B181" s="2">
        <v>46111.0</v>
      </c>
      <c r="C181" s="1">
        <v>1.0</v>
      </c>
      <c r="D181" s="1">
        <v>1375.0</v>
      </c>
      <c r="E181" s="1">
        <v>1375.0</v>
      </c>
      <c r="I181" s="2"/>
    </row>
    <row r="182">
      <c r="A182" s="1" t="s">
        <v>3</v>
      </c>
      <c r="B182" s="2">
        <v>46112.0</v>
      </c>
      <c r="C182" s="1">
        <v>1.0</v>
      </c>
      <c r="D182" s="1">
        <v>259.0</v>
      </c>
      <c r="E182" s="1">
        <v>259.0</v>
      </c>
      <c r="I182" s="2"/>
    </row>
    <row r="183">
      <c r="A183" s="1" t="s">
        <v>3</v>
      </c>
      <c r="B183" s="2">
        <v>46113.0</v>
      </c>
      <c r="C183" s="1">
        <v>1.0</v>
      </c>
      <c r="D183" s="1">
        <v>2386.0</v>
      </c>
      <c r="E183" s="1">
        <v>2386.0</v>
      </c>
      <c r="I183" s="2"/>
    </row>
    <row r="184">
      <c r="A184" s="1" t="s">
        <v>3</v>
      </c>
      <c r="B184" s="2">
        <v>46114.0</v>
      </c>
      <c r="C184" s="1">
        <v>1.0</v>
      </c>
      <c r="D184" s="1">
        <v>1124.0</v>
      </c>
      <c r="E184" s="1">
        <v>1124.0</v>
      </c>
      <c r="I184" s="2"/>
    </row>
    <row r="185">
      <c r="A185" s="1" t="s">
        <v>3</v>
      </c>
      <c r="B185" s="2">
        <v>46117.0</v>
      </c>
      <c r="C185" s="1">
        <v>2.0</v>
      </c>
      <c r="D185" s="1">
        <v>3499.0</v>
      </c>
      <c r="E185" s="1">
        <v>1749.5</v>
      </c>
      <c r="I185" s="2"/>
    </row>
    <row r="186">
      <c r="A186" s="1" t="s">
        <v>3</v>
      </c>
      <c r="B186" s="2">
        <v>46119.0</v>
      </c>
      <c r="C186" s="1">
        <v>1.0</v>
      </c>
      <c r="D186" s="1">
        <v>903.0</v>
      </c>
      <c r="E186" s="1">
        <v>903.0</v>
      </c>
      <c r="I186" s="2"/>
    </row>
    <row r="187">
      <c r="A187" s="1" t="s">
        <v>3</v>
      </c>
      <c r="B187" s="2">
        <v>46120.0</v>
      </c>
      <c r="C187" s="1">
        <v>1.0</v>
      </c>
      <c r="D187" s="1">
        <v>2209.0</v>
      </c>
      <c r="E187" s="1">
        <v>2209.0</v>
      </c>
      <c r="I187" s="2"/>
    </row>
    <row r="188">
      <c r="A188" s="1" t="s">
        <v>3</v>
      </c>
      <c r="B188" s="2">
        <v>46121.0</v>
      </c>
      <c r="C188" s="1">
        <v>1.0</v>
      </c>
      <c r="D188" s="1">
        <v>1114.0</v>
      </c>
      <c r="E188" s="1">
        <v>1114.0</v>
      </c>
      <c r="I188" s="2"/>
    </row>
    <row r="189">
      <c r="A189" s="1" t="s">
        <v>3</v>
      </c>
      <c r="B189" s="2">
        <v>46123.0</v>
      </c>
      <c r="C189" s="1">
        <v>1.0</v>
      </c>
      <c r="D189" s="1">
        <v>2461.0</v>
      </c>
      <c r="E189" s="1">
        <v>2461.0</v>
      </c>
      <c r="I189" s="2"/>
    </row>
    <row r="190">
      <c r="A190" s="1" t="s">
        <v>3</v>
      </c>
      <c r="B190" s="2">
        <v>46124.0</v>
      </c>
      <c r="C190" s="1">
        <v>1.0</v>
      </c>
      <c r="D190" s="1">
        <v>1192.0</v>
      </c>
      <c r="E190" s="1">
        <v>1192.0</v>
      </c>
      <c r="I190" s="2"/>
    </row>
    <row r="191">
      <c r="A191" s="1" t="s">
        <v>3</v>
      </c>
      <c r="B191" s="2">
        <v>46125.0</v>
      </c>
      <c r="C191" s="1">
        <v>2.0</v>
      </c>
      <c r="D191" s="1">
        <v>2255.0</v>
      </c>
      <c r="E191" s="1">
        <v>1127.5</v>
      </c>
      <c r="I191" s="2"/>
    </row>
    <row r="192">
      <c r="A192" s="1" t="s">
        <v>3</v>
      </c>
      <c r="B192" s="2">
        <v>46129.0</v>
      </c>
      <c r="C192" s="1">
        <v>1.0</v>
      </c>
      <c r="D192" s="1">
        <v>1268.0</v>
      </c>
      <c r="E192" s="1">
        <v>1268.0</v>
      </c>
      <c r="I192" s="2"/>
    </row>
    <row r="193">
      <c r="A193" s="1" t="s">
        <v>3</v>
      </c>
      <c r="B193" s="2">
        <v>46133.0</v>
      </c>
      <c r="C193" s="1">
        <v>1.0</v>
      </c>
      <c r="D193" s="1">
        <v>1470.0</v>
      </c>
      <c r="E193" s="1">
        <v>1470.0</v>
      </c>
      <c r="I193" s="2"/>
    </row>
    <row r="194">
      <c r="A194" s="1" t="s">
        <v>3</v>
      </c>
      <c r="B194" s="2">
        <v>46134.0</v>
      </c>
      <c r="C194" s="1">
        <v>1.0</v>
      </c>
      <c r="D194" s="1">
        <v>797.0</v>
      </c>
      <c r="E194" s="1">
        <v>797.0</v>
      </c>
      <c r="I194" s="2"/>
    </row>
    <row r="195">
      <c r="A195" s="1" t="s">
        <v>3</v>
      </c>
      <c r="B195" s="2">
        <v>46135.0</v>
      </c>
      <c r="C195" s="1">
        <v>3.0</v>
      </c>
      <c r="D195" s="1">
        <v>4042.0</v>
      </c>
      <c r="E195" s="1">
        <v>1347.33333333333</v>
      </c>
      <c r="I195" s="2"/>
    </row>
    <row r="196">
      <c r="A196" s="1" t="s">
        <v>3</v>
      </c>
      <c r="B196" s="2">
        <v>46137.0</v>
      </c>
      <c r="C196" s="1">
        <v>1.0</v>
      </c>
      <c r="D196" s="1">
        <v>1108.0</v>
      </c>
      <c r="E196" s="1">
        <v>1108.0</v>
      </c>
      <c r="I196" s="2"/>
    </row>
    <row r="197">
      <c r="A197" s="1" t="s">
        <v>3</v>
      </c>
      <c r="B197" s="2">
        <v>46138.0</v>
      </c>
      <c r="C197" s="1">
        <v>2.0</v>
      </c>
      <c r="D197" s="1">
        <v>2795.0</v>
      </c>
      <c r="E197" s="1">
        <v>1397.5</v>
      </c>
      <c r="I197" s="2"/>
    </row>
    <row r="198">
      <c r="A198" s="1" t="s">
        <v>3</v>
      </c>
      <c r="B198" s="2">
        <v>46139.0</v>
      </c>
      <c r="C198" s="1">
        <v>4.0</v>
      </c>
      <c r="D198" s="1">
        <v>5916.0</v>
      </c>
      <c r="E198" s="1">
        <v>1479.0</v>
      </c>
      <c r="I198" s="2"/>
    </row>
    <row r="199">
      <c r="A199" s="1" t="s">
        <v>3</v>
      </c>
      <c r="B199" s="2">
        <v>46140.0</v>
      </c>
      <c r="C199" s="1">
        <v>1.0</v>
      </c>
      <c r="D199" s="1">
        <v>1567.0</v>
      </c>
      <c r="E199" s="1">
        <v>1567.0</v>
      </c>
      <c r="I199" s="2"/>
    </row>
    <row r="200">
      <c r="A200" s="1" t="s">
        <v>3</v>
      </c>
      <c r="B200" s="2">
        <v>46142.0</v>
      </c>
      <c r="C200" s="1">
        <v>2.0</v>
      </c>
      <c r="D200" s="1">
        <v>3262.0</v>
      </c>
      <c r="E200" s="1">
        <v>1631.0</v>
      </c>
      <c r="I200" s="2"/>
    </row>
    <row r="201">
      <c r="A201" s="1" t="s">
        <v>3</v>
      </c>
      <c r="B201" s="2">
        <v>46143.0</v>
      </c>
      <c r="C201" s="1">
        <v>1.0</v>
      </c>
      <c r="D201" s="1">
        <v>1061.0</v>
      </c>
      <c r="E201" s="1">
        <v>1061.0</v>
      </c>
      <c r="I201" s="2"/>
    </row>
    <row r="202">
      <c r="A202" s="1" t="s">
        <v>3</v>
      </c>
      <c r="B202" s="2">
        <v>46144.0</v>
      </c>
      <c r="C202" s="1">
        <v>1.0</v>
      </c>
      <c r="D202" s="1">
        <v>1986.0</v>
      </c>
      <c r="E202" s="1">
        <v>1986.0</v>
      </c>
      <c r="I202" s="2"/>
    </row>
    <row r="203">
      <c r="A203" s="1" t="s">
        <v>3</v>
      </c>
      <c r="B203" s="2">
        <v>46149.0</v>
      </c>
      <c r="C203" s="1">
        <v>3.0</v>
      </c>
      <c r="D203" s="1">
        <v>2959.0</v>
      </c>
      <c r="E203" s="1">
        <v>986.333333333333</v>
      </c>
      <c r="I203" s="2"/>
    </row>
    <row r="204">
      <c r="A204" s="1" t="s">
        <v>3</v>
      </c>
      <c r="B204" s="2">
        <v>46150.0</v>
      </c>
      <c r="C204" s="1">
        <v>1.0</v>
      </c>
      <c r="D204" s="1">
        <v>2384.0</v>
      </c>
      <c r="E204" s="1">
        <v>2384.0</v>
      </c>
      <c r="I204" s="2"/>
    </row>
    <row r="205">
      <c r="A205" s="1" t="s">
        <v>3</v>
      </c>
      <c r="B205" s="2">
        <v>46152.0</v>
      </c>
      <c r="C205" s="1">
        <v>1.0</v>
      </c>
      <c r="D205" s="1">
        <v>2151.0</v>
      </c>
      <c r="E205" s="1">
        <v>2151.0</v>
      </c>
      <c r="I205" s="2"/>
    </row>
    <row r="206">
      <c r="A206" s="1" t="s">
        <v>3</v>
      </c>
      <c r="B206" s="2">
        <v>46154.0</v>
      </c>
      <c r="C206" s="1">
        <v>1.0</v>
      </c>
      <c r="D206" s="1">
        <v>753.0</v>
      </c>
      <c r="E206" s="1">
        <v>753.0</v>
      </c>
      <c r="I206" s="2"/>
    </row>
    <row r="207">
      <c r="A207" s="1" t="s">
        <v>3</v>
      </c>
      <c r="B207" s="2">
        <v>46156.0</v>
      </c>
      <c r="C207" s="1">
        <v>1.0</v>
      </c>
      <c r="D207" s="1">
        <v>2134.0</v>
      </c>
      <c r="E207" s="1">
        <v>2134.0</v>
      </c>
      <c r="I207" s="2"/>
    </row>
    <row r="208">
      <c r="A208" s="1" t="s">
        <v>3</v>
      </c>
      <c r="B208" s="2">
        <v>46157.0</v>
      </c>
      <c r="C208" s="1">
        <v>1.0</v>
      </c>
      <c r="D208" s="1">
        <v>1693.0</v>
      </c>
      <c r="E208" s="1">
        <v>1693.0</v>
      </c>
      <c r="I208" s="2"/>
    </row>
    <row r="209">
      <c r="A209" s="1" t="s">
        <v>3</v>
      </c>
      <c r="B209" s="2">
        <v>46158.0</v>
      </c>
      <c r="C209" s="1">
        <v>1.0</v>
      </c>
      <c r="D209" s="1">
        <v>1837.0</v>
      </c>
      <c r="E209" s="1">
        <v>1837.0</v>
      </c>
      <c r="I209" s="2"/>
    </row>
    <row r="210">
      <c r="A210" s="1" t="s">
        <v>3</v>
      </c>
      <c r="B210" s="2">
        <v>46160.0</v>
      </c>
      <c r="C210" s="1">
        <v>1.0</v>
      </c>
      <c r="D210" s="1">
        <v>1023.0</v>
      </c>
      <c r="E210" s="1">
        <v>1023.0</v>
      </c>
      <c r="I210" s="2"/>
    </row>
    <row r="211">
      <c r="A211" s="1" t="s">
        <v>3</v>
      </c>
      <c r="B211" s="2">
        <v>46164.0</v>
      </c>
      <c r="C211" s="1">
        <v>4.0</v>
      </c>
      <c r="D211" s="1">
        <v>4711.0</v>
      </c>
      <c r="E211" s="1">
        <v>1177.75</v>
      </c>
      <c r="I211" s="2"/>
    </row>
    <row r="212">
      <c r="A212" s="1" t="s">
        <v>3</v>
      </c>
      <c r="B212" s="2">
        <v>46167.0</v>
      </c>
      <c r="C212" s="1">
        <v>2.0</v>
      </c>
      <c r="D212" s="1">
        <v>1763.0</v>
      </c>
      <c r="E212" s="1">
        <v>881.5</v>
      </c>
      <c r="I212" s="2"/>
    </row>
    <row r="213">
      <c r="A213" s="1" t="s">
        <v>3</v>
      </c>
      <c r="B213" s="2">
        <v>46168.0</v>
      </c>
      <c r="C213" s="1">
        <v>1.0</v>
      </c>
      <c r="D213" s="1">
        <v>1702.0</v>
      </c>
      <c r="E213" s="1">
        <v>1702.0</v>
      </c>
      <c r="I213" s="2"/>
    </row>
    <row r="214">
      <c r="A214" s="1" t="s">
        <v>3</v>
      </c>
      <c r="B214" s="2">
        <v>46169.0</v>
      </c>
      <c r="C214" s="1">
        <v>2.0</v>
      </c>
      <c r="D214" s="1">
        <v>3032.0</v>
      </c>
      <c r="E214" s="1">
        <v>1516.0</v>
      </c>
      <c r="I214" s="2"/>
    </row>
    <row r="215">
      <c r="A215" s="1" t="s">
        <v>3</v>
      </c>
      <c r="B215" s="2">
        <v>46170.0</v>
      </c>
      <c r="C215" s="1">
        <v>2.0</v>
      </c>
      <c r="D215" s="1">
        <v>2022.0</v>
      </c>
      <c r="E215" s="1">
        <v>1011.0</v>
      </c>
      <c r="I215" s="2"/>
    </row>
    <row r="216">
      <c r="A216" s="1" t="s">
        <v>3</v>
      </c>
      <c r="B216" s="2">
        <v>46172.0</v>
      </c>
      <c r="C216" s="1">
        <v>1.0</v>
      </c>
      <c r="D216" s="1">
        <v>2496.0</v>
      </c>
      <c r="E216" s="1">
        <v>2496.0</v>
      </c>
      <c r="I216" s="2"/>
    </row>
    <row r="217">
      <c r="A217" s="1" t="s">
        <v>3</v>
      </c>
      <c r="B217" s="2">
        <v>46174.0</v>
      </c>
      <c r="C217" s="1">
        <v>1.0</v>
      </c>
      <c r="D217" s="1">
        <v>1527.0</v>
      </c>
      <c r="E217" s="1">
        <v>1527.0</v>
      </c>
      <c r="I217" s="2"/>
    </row>
    <row r="218">
      <c r="A218" s="1" t="s">
        <v>3</v>
      </c>
      <c r="B218" s="2">
        <v>46175.0</v>
      </c>
      <c r="C218" s="1">
        <v>1.0</v>
      </c>
      <c r="D218" s="1">
        <v>1281.0</v>
      </c>
      <c r="E218" s="1">
        <v>1281.0</v>
      </c>
      <c r="I218" s="2"/>
    </row>
    <row r="219">
      <c r="A219" s="1" t="s">
        <v>3</v>
      </c>
      <c r="B219" s="2">
        <v>46177.0</v>
      </c>
      <c r="C219" s="1">
        <v>1.0</v>
      </c>
      <c r="D219" s="1">
        <v>1895.0</v>
      </c>
      <c r="E219" s="1">
        <v>1895.0</v>
      </c>
      <c r="I219" s="2"/>
    </row>
    <row r="220">
      <c r="A220" s="1" t="s">
        <v>3</v>
      </c>
      <c r="B220" s="2">
        <v>46178.0</v>
      </c>
      <c r="C220" s="1">
        <v>2.0</v>
      </c>
      <c r="D220" s="1">
        <v>3429.0</v>
      </c>
      <c r="E220" s="1">
        <v>1714.5</v>
      </c>
      <c r="I220" s="2"/>
    </row>
    <row r="221">
      <c r="A221" s="1" t="s">
        <v>3</v>
      </c>
      <c r="B221" s="2">
        <v>46179.0</v>
      </c>
      <c r="C221" s="1">
        <v>1.0</v>
      </c>
      <c r="D221" s="1">
        <v>2316.0</v>
      </c>
      <c r="E221" s="1">
        <v>2316.0</v>
      </c>
      <c r="I221" s="2"/>
    </row>
    <row r="222">
      <c r="A222" s="1" t="s">
        <v>3</v>
      </c>
      <c r="B222" s="2">
        <v>46180.0</v>
      </c>
      <c r="C222" s="1">
        <v>1.0</v>
      </c>
      <c r="D222" s="1">
        <v>1595.0</v>
      </c>
      <c r="E222" s="1">
        <v>1595.0</v>
      </c>
      <c r="I222" s="2"/>
    </row>
    <row r="223">
      <c r="A223" s="1" t="s">
        <v>3</v>
      </c>
      <c r="B223" s="2">
        <v>46183.0</v>
      </c>
      <c r="C223" s="1">
        <v>1.0</v>
      </c>
      <c r="D223" s="1">
        <v>1960.0</v>
      </c>
      <c r="E223" s="1">
        <v>1960.0</v>
      </c>
      <c r="I223" s="2"/>
    </row>
    <row r="224">
      <c r="A224" s="1" t="s">
        <v>3</v>
      </c>
      <c r="B224" s="2">
        <v>46184.0</v>
      </c>
      <c r="C224" s="1">
        <v>1.0</v>
      </c>
      <c r="D224" s="1">
        <v>1520.0</v>
      </c>
      <c r="E224" s="1">
        <v>1520.0</v>
      </c>
      <c r="I224" s="2"/>
    </row>
    <row r="225">
      <c r="A225" s="1" t="s">
        <v>3</v>
      </c>
      <c r="B225" s="2">
        <v>46188.0</v>
      </c>
      <c r="C225" s="1">
        <v>2.0</v>
      </c>
      <c r="D225" s="1">
        <v>3363.0</v>
      </c>
      <c r="E225" s="1">
        <v>1681.5</v>
      </c>
      <c r="I225" s="2"/>
    </row>
    <row r="226">
      <c r="A226" s="1" t="s">
        <v>3</v>
      </c>
      <c r="B226" s="2">
        <v>46189.0</v>
      </c>
      <c r="C226" s="1">
        <v>2.0</v>
      </c>
      <c r="D226" s="1">
        <v>2835.0</v>
      </c>
      <c r="E226" s="1">
        <v>1417.5</v>
      </c>
      <c r="I226" s="2"/>
    </row>
    <row r="227">
      <c r="A227" s="1" t="s">
        <v>3</v>
      </c>
      <c r="B227" s="2">
        <v>46195.0</v>
      </c>
      <c r="C227" s="1">
        <v>2.0</v>
      </c>
      <c r="D227" s="1">
        <v>2933.0</v>
      </c>
      <c r="E227" s="1">
        <v>1466.5</v>
      </c>
      <c r="I227" s="2"/>
    </row>
    <row r="228">
      <c r="A228" s="1" t="s">
        <v>3</v>
      </c>
      <c r="B228" s="2">
        <v>46196.0</v>
      </c>
      <c r="C228" s="1">
        <v>1.0</v>
      </c>
      <c r="D228" s="1">
        <v>710.0</v>
      </c>
      <c r="E228" s="1">
        <v>710.0</v>
      </c>
      <c r="I228" s="2"/>
    </row>
    <row r="229">
      <c r="A229" s="1" t="s">
        <v>3</v>
      </c>
      <c r="B229" s="2">
        <v>46197.0</v>
      </c>
      <c r="C229" s="1">
        <v>1.0</v>
      </c>
      <c r="D229" s="1">
        <v>2462.0</v>
      </c>
      <c r="E229" s="1">
        <v>2462.0</v>
      </c>
      <c r="I229" s="2"/>
    </row>
    <row r="230">
      <c r="A230" s="1" t="s">
        <v>3</v>
      </c>
      <c r="B230" s="2">
        <v>46198.0</v>
      </c>
      <c r="C230" s="1">
        <v>2.0</v>
      </c>
      <c r="D230" s="1">
        <v>2458.0</v>
      </c>
      <c r="E230" s="1">
        <v>1229.0</v>
      </c>
      <c r="I230" s="2"/>
    </row>
    <row r="231">
      <c r="A231" s="1" t="s">
        <v>3</v>
      </c>
      <c r="B231" s="2">
        <v>46199.0</v>
      </c>
      <c r="C231" s="1">
        <v>2.0</v>
      </c>
      <c r="D231" s="1">
        <v>3706.0</v>
      </c>
      <c r="E231" s="1">
        <v>1853.0</v>
      </c>
      <c r="I231" s="2"/>
    </row>
    <row r="232">
      <c r="A232" s="1" t="s">
        <v>3</v>
      </c>
      <c r="B232" s="2">
        <v>46201.0</v>
      </c>
      <c r="C232" s="1">
        <v>2.0</v>
      </c>
      <c r="D232" s="1">
        <v>2777.0</v>
      </c>
      <c r="E232" s="1">
        <v>1388.5</v>
      </c>
      <c r="I232" s="2"/>
    </row>
    <row r="233">
      <c r="A233" s="1" t="s">
        <v>3</v>
      </c>
      <c r="B233" s="2">
        <v>46202.0</v>
      </c>
      <c r="C233" s="1">
        <v>3.0</v>
      </c>
      <c r="D233" s="1">
        <v>3650.0</v>
      </c>
      <c r="E233" s="1">
        <v>1216.66666666667</v>
      </c>
      <c r="I233" s="2"/>
    </row>
    <row r="234">
      <c r="A234" s="1" t="s">
        <v>3</v>
      </c>
      <c r="B234" s="2">
        <v>46203.0</v>
      </c>
      <c r="C234" s="1">
        <v>1.0</v>
      </c>
      <c r="D234" s="1">
        <v>715.0</v>
      </c>
      <c r="E234" s="1">
        <v>715.0</v>
      </c>
      <c r="I234" s="2"/>
    </row>
    <row r="235">
      <c r="A235" s="1" t="s">
        <v>9</v>
      </c>
      <c r="B235" s="2">
        <v>46035.0</v>
      </c>
      <c r="C235" s="1">
        <v>1.0</v>
      </c>
      <c r="D235" s="1">
        <v>2364.0</v>
      </c>
      <c r="E235" s="1">
        <v>2364.0</v>
      </c>
      <c r="I235" s="2"/>
    </row>
    <row r="236">
      <c r="A236" s="1" t="s">
        <v>9</v>
      </c>
      <c r="B236" s="2">
        <v>46036.0</v>
      </c>
      <c r="C236" s="1">
        <v>1.0</v>
      </c>
      <c r="D236" s="1">
        <v>787.0</v>
      </c>
      <c r="E236" s="1">
        <v>787.0</v>
      </c>
      <c r="I236" s="2"/>
    </row>
    <row r="237">
      <c r="A237" s="1" t="s">
        <v>9</v>
      </c>
      <c r="B237" s="2">
        <v>46041.0</v>
      </c>
      <c r="C237" s="1">
        <v>1.0</v>
      </c>
      <c r="D237" s="1">
        <v>188.0</v>
      </c>
      <c r="E237" s="1">
        <v>188.0</v>
      </c>
      <c r="I237" s="2"/>
    </row>
    <row r="238">
      <c r="A238" s="1" t="s">
        <v>9</v>
      </c>
      <c r="B238" s="2">
        <v>46058.0</v>
      </c>
      <c r="C238" s="1">
        <v>1.0</v>
      </c>
      <c r="D238" s="1">
        <v>767.0</v>
      </c>
      <c r="E238" s="1">
        <v>767.0</v>
      </c>
      <c r="I238" s="2"/>
    </row>
    <row r="239">
      <c r="A239" s="1" t="s">
        <v>9</v>
      </c>
      <c r="B239" s="2">
        <v>46061.0</v>
      </c>
      <c r="C239" s="1">
        <v>1.0</v>
      </c>
      <c r="D239" s="1">
        <v>1951.0</v>
      </c>
      <c r="E239" s="1">
        <v>1951.0</v>
      </c>
      <c r="I239" s="2"/>
    </row>
    <row r="240">
      <c r="A240" s="1" t="s">
        <v>9</v>
      </c>
      <c r="B240" s="2">
        <v>46062.0</v>
      </c>
      <c r="C240" s="1">
        <v>1.0</v>
      </c>
      <c r="D240" s="1">
        <v>1395.0</v>
      </c>
      <c r="E240" s="1">
        <v>1395.0</v>
      </c>
      <c r="I240" s="2"/>
    </row>
    <row r="241">
      <c r="A241" s="1" t="s">
        <v>9</v>
      </c>
      <c r="B241" s="2">
        <v>46070.0</v>
      </c>
      <c r="C241" s="1">
        <v>1.0</v>
      </c>
      <c r="D241" s="1">
        <v>725.0</v>
      </c>
      <c r="E241" s="1">
        <v>725.0</v>
      </c>
      <c r="I241" s="2"/>
    </row>
    <row r="242">
      <c r="A242" s="1" t="s">
        <v>9</v>
      </c>
      <c r="B242" s="2">
        <v>46071.0</v>
      </c>
      <c r="C242" s="1">
        <v>1.0</v>
      </c>
      <c r="D242" s="1">
        <v>802.0</v>
      </c>
      <c r="E242" s="1">
        <v>802.0</v>
      </c>
      <c r="I242" s="2"/>
    </row>
    <row r="243">
      <c r="A243" s="1" t="s">
        <v>9</v>
      </c>
      <c r="B243" s="2">
        <v>46076.0</v>
      </c>
      <c r="C243" s="1">
        <v>1.0</v>
      </c>
      <c r="D243" s="1">
        <v>1014.0</v>
      </c>
      <c r="E243" s="1">
        <v>1014.0</v>
      </c>
      <c r="I243" s="2"/>
    </row>
    <row r="244">
      <c r="A244" s="1" t="s">
        <v>9</v>
      </c>
      <c r="B244" s="2">
        <v>46077.0</v>
      </c>
      <c r="C244" s="1">
        <v>1.0</v>
      </c>
      <c r="D244" s="1">
        <v>2194.0</v>
      </c>
      <c r="E244" s="1">
        <v>2194.0</v>
      </c>
      <c r="I244" s="2"/>
    </row>
    <row r="245">
      <c r="A245" s="1" t="s">
        <v>9</v>
      </c>
      <c r="B245" s="2">
        <v>46079.0</v>
      </c>
      <c r="C245" s="1">
        <v>1.0</v>
      </c>
      <c r="D245" s="1">
        <v>1843.0</v>
      </c>
      <c r="E245" s="1">
        <v>1843.0</v>
      </c>
      <c r="I245" s="2"/>
    </row>
    <row r="246">
      <c r="A246" s="1" t="s">
        <v>9</v>
      </c>
      <c r="B246" s="2">
        <v>46081.0</v>
      </c>
      <c r="C246" s="1">
        <v>1.0</v>
      </c>
      <c r="D246" s="1">
        <v>1063.0</v>
      </c>
      <c r="E246" s="1">
        <v>1063.0</v>
      </c>
      <c r="I246" s="2"/>
    </row>
    <row r="247">
      <c r="A247" s="1" t="s">
        <v>9</v>
      </c>
      <c r="B247" s="2">
        <v>46083.0</v>
      </c>
      <c r="C247" s="1">
        <v>1.0</v>
      </c>
      <c r="D247" s="1">
        <v>1421.0</v>
      </c>
      <c r="E247" s="1">
        <v>1421.0</v>
      </c>
      <c r="I247" s="2"/>
    </row>
    <row r="248">
      <c r="A248" s="1" t="s">
        <v>9</v>
      </c>
      <c r="B248" s="2">
        <v>46084.0</v>
      </c>
      <c r="C248" s="1">
        <v>3.0</v>
      </c>
      <c r="D248" s="1">
        <v>3438.0</v>
      </c>
      <c r="E248" s="1">
        <v>1146.0</v>
      </c>
      <c r="I248" s="2"/>
    </row>
    <row r="249">
      <c r="A249" s="1" t="s">
        <v>9</v>
      </c>
      <c r="B249" s="2">
        <v>46091.0</v>
      </c>
      <c r="C249" s="1">
        <v>1.0</v>
      </c>
      <c r="D249" s="1">
        <v>160.0</v>
      </c>
      <c r="E249" s="1">
        <v>160.0</v>
      </c>
      <c r="I249" s="2"/>
    </row>
    <row r="250">
      <c r="A250" s="1" t="s">
        <v>9</v>
      </c>
      <c r="B250" s="2">
        <v>46092.0</v>
      </c>
      <c r="C250" s="1">
        <v>1.0</v>
      </c>
      <c r="D250" s="1">
        <v>1964.0</v>
      </c>
      <c r="E250" s="1">
        <v>1964.0</v>
      </c>
      <c r="I250" s="2"/>
    </row>
    <row r="251">
      <c r="A251" s="1" t="s">
        <v>9</v>
      </c>
      <c r="B251" s="2">
        <v>46100.0</v>
      </c>
      <c r="C251" s="1">
        <v>1.0</v>
      </c>
      <c r="D251" s="1">
        <v>2026.0</v>
      </c>
      <c r="E251" s="1">
        <v>2026.0</v>
      </c>
      <c r="I251" s="2"/>
    </row>
    <row r="252">
      <c r="A252" s="1" t="s">
        <v>9</v>
      </c>
      <c r="B252" s="2">
        <v>46102.0</v>
      </c>
      <c r="C252" s="1">
        <v>1.0</v>
      </c>
      <c r="D252" s="1">
        <v>2261.0</v>
      </c>
      <c r="E252" s="1">
        <v>2261.0</v>
      </c>
      <c r="I252" s="2"/>
    </row>
    <row r="253">
      <c r="A253" s="1" t="s">
        <v>9</v>
      </c>
      <c r="B253" s="2">
        <v>46109.0</v>
      </c>
      <c r="C253" s="1">
        <v>1.0</v>
      </c>
      <c r="D253" s="1">
        <v>1587.0</v>
      </c>
      <c r="E253" s="1">
        <v>1587.0</v>
      </c>
      <c r="I253" s="2"/>
    </row>
    <row r="254">
      <c r="A254" s="1" t="s">
        <v>9</v>
      </c>
      <c r="B254" s="2">
        <v>46111.0</v>
      </c>
      <c r="C254" s="1">
        <v>1.0</v>
      </c>
      <c r="D254" s="1">
        <v>1961.0</v>
      </c>
      <c r="E254" s="1">
        <v>1961.0</v>
      </c>
      <c r="I254" s="2"/>
    </row>
    <row r="255">
      <c r="A255" s="1" t="s">
        <v>9</v>
      </c>
      <c r="B255" s="2">
        <v>46124.0</v>
      </c>
      <c r="C255" s="1">
        <v>1.0</v>
      </c>
      <c r="D255" s="1">
        <v>2110.0</v>
      </c>
      <c r="E255" s="1">
        <v>2110.0</v>
      </c>
      <c r="I255" s="2"/>
    </row>
    <row r="256">
      <c r="A256" s="1" t="s">
        <v>9</v>
      </c>
      <c r="B256" s="2">
        <v>46128.0</v>
      </c>
      <c r="C256" s="1">
        <v>1.0</v>
      </c>
      <c r="D256" s="1">
        <v>1502.0</v>
      </c>
      <c r="E256" s="1">
        <v>1502.0</v>
      </c>
      <c r="I256" s="2"/>
    </row>
    <row r="257">
      <c r="A257" s="1" t="s">
        <v>9</v>
      </c>
      <c r="B257" s="2">
        <v>46130.0</v>
      </c>
      <c r="C257" s="1">
        <v>1.0</v>
      </c>
      <c r="D257" s="1">
        <v>2465.0</v>
      </c>
      <c r="E257" s="1">
        <v>2465.0</v>
      </c>
      <c r="I257" s="2"/>
    </row>
    <row r="258">
      <c r="A258" s="1" t="s">
        <v>9</v>
      </c>
      <c r="B258" s="2">
        <v>46134.0</v>
      </c>
      <c r="C258" s="1">
        <v>1.0</v>
      </c>
      <c r="D258" s="1">
        <v>553.0</v>
      </c>
      <c r="E258" s="1">
        <v>553.0</v>
      </c>
      <c r="I258" s="2"/>
    </row>
    <row r="259">
      <c r="A259" s="1" t="s">
        <v>9</v>
      </c>
      <c r="B259" s="2">
        <v>46135.0</v>
      </c>
      <c r="C259" s="1">
        <v>1.0</v>
      </c>
      <c r="D259" s="1">
        <v>558.0</v>
      </c>
      <c r="E259" s="1">
        <v>558.0</v>
      </c>
      <c r="I259" s="2"/>
    </row>
    <row r="260">
      <c r="A260" s="1" t="s">
        <v>9</v>
      </c>
      <c r="B260" s="2">
        <v>46136.0</v>
      </c>
      <c r="C260" s="1">
        <v>1.0</v>
      </c>
      <c r="D260" s="1">
        <v>2217.0</v>
      </c>
      <c r="E260" s="1">
        <v>2217.0</v>
      </c>
      <c r="I260" s="2"/>
    </row>
    <row r="261">
      <c r="A261" s="1" t="s">
        <v>9</v>
      </c>
      <c r="B261" s="2">
        <v>46137.0</v>
      </c>
      <c r="C261" s="1">
        <v>1.0</v>
      </c>
      <c r="D261" s="1">
        <v>377.0</v>
      </c>
      <c r="E261" s="1">
        <v>377.0</v>
      </c>
      <c r="I261" s="2"/>
    </row>
    <row r="262">
      <c r="A262" s="1" t="s">
        <v>9</v>
      </c>
      <c r="B262" s="2">
        <v>46139.0</v>
      </c>
      <c r="C262" s="1">
        <v>1.0</v>
      </c>
      <c r="D262" s="1">
        <v>760.0</v>
      </c>
      <c r="E262" s="1">
        <v>760.0</v>
      </c>
      <c r="I262" s="2"/>
    </row>
    <row r="263">
      <c r="A263" s="1" t="s">
        <v>9</v>
      </c>
      <c r="B263" s="2">
        <v>46144.0</v>
      </c>
      <c r="C263" s="1">
        <v>1.0</v>
      </c>
      <c r="D263" s="1">
        <v>1711.0</v>
      </c>
      <c r="E263" s="1">
        <v>1711.0</v>
      </c>
      <c r="I263" s="2"/>
    </row>
    <row r="264">
      <c r="A264" s="1" t="s">
        <v>9</v>
      </c>
      <c r="B264" s="2">
        <v>46151.0</v>
      </c>
      <c r="C264" s="1">
        <v>1.0</v>
      </c>
      <c r="D264" s="1">
        <v>840.0</v>
      </c>
      <c r="E264" s="1">
        <v>840.0</v>
      </c>
      <c r="I264" s="2"/>
    </row>
    <row r="265">
      <c r="A265" s="1" t="s">
        <v>9</v>
      </c>
      <c r="B265" s="2">
        <v>46152.0</v>
      </c>
      <c r="C265" s="1">
        <v>1.0</v>
      </c>
      <c r="D265" s="1">
        <v>2419.0</v>
      </c>
      <c r="E265" s="1">
        <v>2419.0</v>
      </c>
      <c r="I265" s="2"/>
    </row>
    <row r="266">
      <c r="A266" s="1" t="s">
        <v>9</v>
      </c>
      <c r="B266" s="2">
        <v>46157.0</v>
      </c>
      <c r="C266" s="1">
        <v>1.0</v>
      </c>
      <c r="D266" s="1">
        <v>1627.0</v>
      </c>
      <c r="E266" s="1">
        <v>1627.0</v>
      </c>
      <c r="I266" s="2"/>
    </row>
    <row r="267">
      <c r="A267" s="1" t="s">
        <v>9</v>
      </c>
      <c r="B267" s="2">
        <v>46160.0</v>
      </c>
      <c r="C267" s="1">
        <v>1.0</v>
      </c>
      <c r="D267" s="1">
        <v>930.0</v>
      </c>
      <c r="E267" s="1">
        <v>930.0</v>
      </c>
      <c r="I267" s="2"/>
    </row>
    <row r="268">
      <c r="A268" s="1" t="s">
        <v>9</v>
      </c>
      <c r="B268" s="2">
        <v>46170.0</v>
      </c>
      <c r="C268" s="1">
        <v>2.0</v>
      </c>
      <c r="D268" s="1">
        <v>2603.0</v>
      </c>
      <c r="E268" s="1">
        <v>1301.5</v>
      </c>
      <c r="I268" s="2"/>
    </row>
    <row r="269">
      <c r="A269" s="1" t="s">
        <v>9</v>
      </c>
      <c r="B269" s="2">
        <v>46178.0</v>
      </c>
      <c r="C269" s="1">
        <v>1.0</v>
      </c>
      <c r="D269" s="1">
        <v>964.0</v>
      </c>
      <c r="E269" s="1">
        <v>964.0</v>
      </c>
      <c r="I269" s="2"/>
    </row>
    <row r="270">
      <c r="A270" s="1" t="s">
        <v>9</v>
      </c>
      <c r="B270" s="2">
        <v>46180.0</v>
      </c>
      <c r="C270" s="1">
        <v>1.0</v>
      </c>
      <c r="D270" s="1">
        <v>2226.0</v>
      </c>
      <c r="E270" s="1">
        <v>2226.0</v>
      </c>
      <c r="I270" s="2"/>
    </row>
    <row r="271">
      <c r="A271" s="1" t="s">
        <v>9</v>
      </c>
      <c r="B271" s="2">
        <v>46189.0</v>
      </c>
      <c r="C271" s="1">
        <v>2.0</v>
      </c>
      <c r="D271" s="1">
        <v>2547.0</v>
      </c>
      <c r="E271" s="1">
        <v>1273.5</v>
      </c>
      <c r="I271" s="2"/>
    </row>
    <row r="272">
      <c r="A272" s="1" t="s">
        <v>9</v>
      </c>
      <c r="B272" s="2">
        <v>46191.0</v>
      </c>
      <c r="C272" s="1">
        <v>1.0</v>
      </c>
      <c r="D272" s="1">
        <v>1915.0</v>
      </c>
      <c r="E272" s="1">
        <v>1915.0</v>
      </c>
      <c r="I272" s="2"/>
    </row>
    <row r="273">
      <c r="A273" s="1" t="s">
        <v>9</v>
      </c>
      <c r="B273" s="2">
        <v>46192.0</v>
      </c>
      <c r="C273" s="1">
        <v>2.0</v>
      </c>
      <c r="D273" s="1">
        <v>1678.0</v>
      </c>
      <c r="E273" s="1">
        <v>839.0</v>
      </c>
      <c r="I273" s="2"/>
    </row>
    <row r="274">
      <c r="A274" s="1" t="s">
        <v>9</v>
      </c>
      <c r="B274" s="2">
        <v>46193.0</v>
      </c>
      <c r="C274" s="1">
        <v>1.0</v>
      </c>
      <c r="D274" s="1">
        <v>1822.0</v>
      </c>
      <c r="E274" s="1">
        <v>1822.0</v>
      </c>
      <c r="I274" s="2"/>
    </row>
    <row r="275">
      <c r="A275" s="1" t="s">
        <v>9</v>
      </c>
      <c r="B275" s="2">
        <v>46199.0</v>
      </c>
      <c r="C275" s="1">
        <v>1.0</v>
      </c>
      <c r="D275" s="1">
        <v>259.0</v>
      </c>
      <c r="E275" s="1">
        <v>259.0</v>
      </c>
      <c r="I275" s="2"/>
    </row>
    <row r="276">
      <c r="A276" s="1" t="s">
        <v>9</v>
      </c>
      <c r="B276" s="2">
        <v>46203.0</v>
      </c>
      <c r="C276" s="1">
        <v>1.0</v>
      </c>
      <c r="D276" s="1">
        <v>1423.0</v>
      </c>
      <c r="E276" s="1">
        <v>1423.0</v>
      </c>
      <c r="I276" s="2"/>
    </row>
    <row r="277">
      <c r="I277" s="2"/>
    </row>
    <row r="278">
      <c r="I278" s="2"/>
    </row>
    <row r="279">
      <c r="I27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2</v>
      </c>
    </row>
    <row r="2">
      <c r="A2" s="1" t="s">
        <v>3</v>
      </c>
      <c r="B2" s="1">
        <v>180000.0</v>
      </c>
    </row>
    <row r="3">
      <c r="A3" s="1" t="s">
        <v>6</v>
      </c>
      <c r="B3" s="1">
        <v>140000.0</v>
      </c>
    </row>
    <row r="4">
      <c r="A4" s="1" t="s">
        <v>9</v>
      </c>
      <c r="B4" s="1">
        <v>50000.0</v>
      </c>
    </row>
    <row r="5">
      <c r="A5" s="1" t="s">
        <v>10</v>
      </c>
      <c r="B5" s="1">
        <v>60000.0</v>
      </c>
    </row>
    <row r="6">
      <c r="A6" s="1" t="s">
        <v>12</v>
      </c>
      <c r="B6" s="1">
        <v>25000.0</v>
      </c>
    </row>
    <row r="7">
      <c r="A7" s="1" t="s">
        <v>13</v>
      </c>
      <c r="B7" s="1">
        <v>10000.0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2">
      <c r="A2" s="1" t="s">
        <v>8</v>
      </c>
    </row>
    <row r="3">
      <c r="A3" s="1" t="s">
        <v>11</v>
      </c>
      <c r="B3" s="3">
        <f t="array" ref="B3">COUNTA(UNIQUE('Monthly Data'!A2:A276))</f>
        <v>6</v>
      </c>
    </row>
    <row r="4">
      <c r="A4" s="1" t="s">
        <v>14</v>
      </c>
      <c r="B4" s="1">
        <f>SUM('Monthly Data'!D2:D276)</f>
        <v>497106</v>
      </c>
    </row>
    <row r="5">
      <c r="A5" s="1" t="s">
        <v>15</v>
      </c>
      <c r="B5" s="3">
        <f>SUM('Monthly Data'!C2:C276)</f>
        <v>358</v>
      </c>
    </row>
    <row r="6">
      <c r="A6" s="1" t="s">
        <v>16</v>
      </c>
      <c r="B6" s="3">
        <f>AVERAGE('Monthly Data'!E2:E276)</f>
        <v>1408.500909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9.38"/>
    <col customWidth="1" min="3" max="3" width="15.88"/>
  </cols>
  <sheetData>
    <row r="1"/>
    <row r="2"/>
    <row r="3"/>
    <row r="4"/>
    <row r="5"/>
    <row r="6"/>
    <row r="7"/>
    <row r="8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9.0"/>
    <col customWidth="1" min="6" max="6" width="19.38"/>
  </cols>
  <sheetData>
    <row r="1">
      <c r="A1" s="1" t="s">
        <v>19</v>
      </c>
      <c r="B1" s="1" t="s">
        <v>14</v>
      </c>
      <c r="C1" s="1" t="s">
        <v>20</v>
      </c>
      <c r="D1" s="1" t="s">
        <v>21</v>
      </c>
      <c r="E1" s="1" t="s">
        <v>22</v>
      </c>
      <c r="F1" s="1" t="s">
        <v>24</v>
      </c>
    </row>
    <row r="2">
      <c r="A2" s="3" t="s">
        <v>6</v>
      </c>
      <c r="B2" s="4">
        <f>'Pivot Table 1'!B2</f>
        <v>127840</v>
      </c>
      <c r="C2" s="5">
        <f>VLOOKUP(A2,'Cuisine Targets'!$A$2:$B$7,2,FALSE)</f>
        <v>140000</v>
      </c>
      <c r="D2" s="3">
        <f t="shared" ref="D2:D7" si="1">C2-B2</f>
        <v>12160</v>
      </c>
      <c r="E2" s="3">
        <f t="shared" ref="E2:E7" si="2">((B2-C2)/C2)*100</f>
        <v>-8.685714286</v>
      </c>
      <c r="F2" s="6" t="str">
        <f t="shared" ref="F2:F7" si="3">IF(B2&gt;=C2,"Above Target", IF(((C2-B2)/C2)&lt;=15%,"Below Target - Watch", "Below Target - Critical"))</f>
        <v>Below Target - Watch</v>
      </c>
    </row>
    <row r="3">
      <c r="A3" s="3" t="s">
        <v>12</v>
      </c>
      <c r="B3" s="4">
        <f>'Pivot Table 1'!B3</f>
        <v>19694</v>
      </c>
      <c r="C3" s="5">
        <f>VLOOKUP(A3,'Cuisine Targets'!$A$2:$B$7,2,FALSE)</f>
        <v>25000</v>
      </c>
      <c r="D3" s="3">
        <f t="shared" si="1"/>
        <v>5306</v>
      </c>
      <c r="E3" s="3">
        <f t="shared" si="2"/>
        <v>-21.224</v>
      </c>
      <c r="F3" s="6" t="str">
        <f t="shared" si="3"/>
        <v>Below Target - Critical</v>
      </c>
    </row>
    <row r="4">
      <c r="A4" s="3" t="s">
        <v>10</v>
      </c>
      <c r="B4" s="4">
        <f>'Pivot Table 1'!B4</f>
        <v>55123</v>
      </c>
      <c r="C4" s="5">
        <f>VLOOKUP(A4,'Cuisine Targets'!$A$2:$B$7,2,FALSE)</f>
        <v>60000</v>
      </c>
      <c r="D4" s="3">
        <f t="shared" si="1"/>
        <v>4877</v>
      </c>
      <c r="E4" s="3">
        <f t="shared" si="2"/>
        <v>-8.128333333</v>
      </c>
      <c r="F4" s="6" t="str">
        <f t="shared" si="3"/>
        <v>Below Target - Watch</v>
      </c>
    </row>
    <row r="5">
      <c r="A5" s="3" t="s">
        <v>13</v>
      </c>
      <c r="B5" s="4">
        <f>'Pivot Table 1'!B5</f>
        <v>14735</v>
      </c>
      <c r="C5" s="5">
        <f>VLOOKUP(A5,'Cuisine Targets'!$A$2:$B$7,2,FALSE)</f>
        <v>10000</v>
      </c>
      <c r="D5" s="3">
        <f t="shared" si="1"/>
        <v>-4735</v>
      </c>
      <c r="E5" s="3">
        <f t="shared" si="2"/>
        <v>47.35</v>
      </c>
      <c r="F5" s="6" t="str">
        <f t="shared" si="3"/>
        <v>Above Target</v>
      </c>
    </row>
    <row r="6">
      <c r="A6" s="3" t="s">
        <v>3</v>
      </c>
      <c r="B6" s="4">
        <f>'Pivot Table 1'!B6</f>
        <v>216297</v>
      </c>
      <c r="C6" s="5">
        <f>VLOOKUP(A6,'Cuisine Targets'!$A$2:$B$7,2,FALSE)</f>
        <v>180000</v>
      </c>
      <c r="D6" s="3">
        <f t="shared" si="1"/>
        <v>-36297</v>
      </c>
      <c r="E6" s="3">
        <f t="shared" si="2"/>
        <v>20.165</v>
      </c>
      <c r="F6" s="6" t="str">
        <f t="shared" si="3"/>
        <v>Above Target</v>
      </c>
    </row>
    <row r="7">
      <c r="A7" s="3" t="s">
        <v>9</v>
      </c>
      <c r="B7" s="4">
        <f>'Pivot Table 1'!B7</f>
        <v>63417</v>
      </c>
      <c r="C7" s="5">
        <f>VLOOKUP(A7,'Cuisine Targets'!$A$2:$B$7,2,FALSE)</f>
        <v>50000</v>
      </c>
      <c r="D7" s="3">
        <f t="shared" si="1"/>
        <v>-13417</v>
      </c>
      <c r="E7" s="3">
        <f t="shared" si="2"/>
        <v>26.834</v>
      </c>
      <c r="F7" s="6" t="str">
        <f t="shared" si="3"/>
        <v>Above Target</v>
      </c>
    </row>
    <row r="8">
      <c r="C8" s="7"/>
    </row>
  </sheetData>
  <drawing r:id="rId1"/>
</worksheet>
</file>